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<sst xmlns="http://schemas.openxmlformats.org/spreadsheetml/2006/main" count="1071" uniqueCount="724">
  <si>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</si>
  <si>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</si>
  <si>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</si>
  <si>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</si>
  <si>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</si>
  <si>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</si>
  <si>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</si>
  <si>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</si>
  <si>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</si>
  <si>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</si>
  <si>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</si>
  <si>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</si>
  <si>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</si>
  <si>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</si>
  <si>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</si>
  <si>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</si>
  <si>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</si>
  <si>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</si>
  <si>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</si>
  <si>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02 §3</t>
  </si>
  <si>
    <t xml:space="preserve">Acolyte base efficiency</t>
  </si>
  <si>
    <t xml:space="preserve">x of player</t>
  </si>
  <si>
    <t xml:space="preserve">02 §3 (33%)</t>
  </si>
  <si>
    <t xml:space="preserve">Invocation base efficiency</t>
  </si>
  <si>
    <t xml:space="preserve">Base remaining gold % (Katabasis)</t>
  </si>
  <si>
    <t xml:space="preserve">01 recap / 02 §6 (5%)</t>
  </si>
  <si>
    <t xml:space="preserve">Base remaining maleficia chance</t>
  </si>
  <si>
    <t xml:space="preserve">02 §8 (25%)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</si>
  <si>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</si>
  <si>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</si>
  <si>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</si>
  <si>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03 §2.3 (20%)</t>
  </si>
  <si>
    <t xml:space="preserve">Devotion cost base</t>
  </si>
  <si>
    <t xml:space="preserve">souls (^level)</t>
  </si>
  <si>
    <t xml:space="preserve">02 §4 / 03 §1 (cumulative = 180^X)</t>
  </si>
  <si>
    <t xml:space="preserve">Eternal Sin (Semet) cost</t>
  </si>
  <si>
    <t xml:space="preserve">souls</t>
  </si>
  <si>
    <t xml:space="preserve">03 §9 (= 8 x 180^4)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</si>
  <si>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</si>
  <si>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</si>
  <si>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</si>
  <si>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</si>
  <si>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</si>
  <si>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</si>
  <si>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Indagatio time</t>
  </si>
  <si>
    <t xml:space="preserve">s</t>
  </si>
  <si>
    <t xml:space="preserve">Base Emptio time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</si>
  <si>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</si>
  <si>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</si>
  <si>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</si>
  <si>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</si>
  <si>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(LN(Y)^2)/6.537,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</si>
  <si>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</si>
  <si>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</si>
  <si>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</si>
  <si>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</si>
  <si>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</si>
  <si>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</si>
  <si>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</si>
  <si>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</si>
  <si>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</si>
  <si>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</si>
  <si>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</si>
  <si>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</si>
  <si>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</si>
  <si>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</si>
  <si>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</si>
  <si>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</si>
  <si>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</si>
  <si>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</si>
  <si>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</si>
  <si>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</si>
  <si>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</si>
  <si>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</si>
  <si>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</si>
  <si>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</si>
  <si>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</si>
  <si>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</si>
  <si>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</si>
  <si>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</si>
  <si>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</si>
  <si>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</si>
  <si>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</si>
  <si>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</si>
  <si>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</si>
  <si>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</si>
  <si>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</si>
  <si>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</si>
  <si>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</si>
  <si>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</si>
  <si>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</si>
  <si>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</si>
  <si>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</si>
  <si>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</si>
  <si>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</si>
  <si>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</si>
  <si>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</si>
  <si>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</si>
  <si>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</si>
  <si>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</si>
  <si>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</si>
  <si>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</si>
  <si>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</si>
  <si>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</si>
  <si>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</si>
  <si>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</si>
  <si>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</si>
  <si>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</si>
  <si>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</si>
  <si>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</si>
  <si>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Per 02 §2: 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</si>
  <si>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</si>
  <si>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</si>
  <si>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</si>
  <si>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</si>
  <si>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</si>
  <si>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</si>
  <si>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</si>
  <si>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</si>
  <si>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</si>
  <si>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</si>
  <si>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</si>
  <si>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</si>
  <si>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</si>
  <si>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</si>
  <si>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</si>
  <si>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</si>
  <si>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</si>
  <si>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</si>
  <si>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</si>
  <si>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</si>
  <si>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</si>
  <si>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 (03 §2.1).</t>
  </si>
  <si>
    <t xml:space="preserve">Suggestion  —  one-shot 10s, 5 influence; Luxuria 1 enables toggle</t>
  </si>
  <si>
    <t xml:space="preserve">Early-game reprobate source.</t>
  </si>
  <si>
    <t xml:space="preserve">Base prob %</t>
  </si>
  <si>
    <t xml:space="preserve">Effect</t>
  </si>
  <si>
    <t xml:space="preserve">target suicides -&gt; +1 soul</t>
  </si>
  <si>
    <t xml:space="preserve">major sin -&gt; +1 converted reprobate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</si>
  <si>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</si>
  <si>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</si>
  <si>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</si>
  <si>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</si>
  <si>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</si>
  <si>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</si>
  <si>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</si>
  <si>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</si>
  <si>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</si>
  <si>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</si>
  <si>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</si>
  <si>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</si>
  <si>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</si>
  <si>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</si>
  <si>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</si>
  <si>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</si>
  <si>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</si>
  <si>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 (03 §2.2).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</si>
  <si>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</si>
  <si>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</si>
  <si>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</si>
  <si>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</si>
  <si>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</si>
  <si>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</si>
  <si>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</si>
  <si>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</si>
  <si>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you have to lay low – Influence regeneration frozen for 300 seconds.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</si>
  <si>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</si>
  <si>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</si>
  <si>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</si>
  <si>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</si>
  <si>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</si>
  <si>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</si>
  <si>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</si>
  <si>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</si>
  <si>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</si>
  <si>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</si>
  <si>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</si>
  <si>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</si>
  <si>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</si>
  <si>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</si>
  <si>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</si>
  <si>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</si>
  <si>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</si>
  <si>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</si>
  <si>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</si>
  <si>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</si>
  <si>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</si>
  <si>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</si>
  <si>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</si>
  <si>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</si>
  <si>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</si>
  <si>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</si>
  <si>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</si>
  <si>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</si>
  <si>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</si>
  <si>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</si>
  <si>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</si>
  <si>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</si>
  <si>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</si>
  <si>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</si>
  <si>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</si>
  <si>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</si>
  <si>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</si>
  <si>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</si>
  <si>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</si>
  <si>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</si>
  <si>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</si>
  <si>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</si>
  <si>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</si>
  <si>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</si>
  <si>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</si>
  <si>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</si>
  <si>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</si>
  <si>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</si>
  <si>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</si>
  <si>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</si>
  <si>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</si>
  <si>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</si>
  <si>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</si>
  <si>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</si>
  <si>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</si>
  <si>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</si>
  <si>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</si>
  <si>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</si>
  <si>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</si>
  <si>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</si>
  <si>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</si>
  <si>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</si>
  <si>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</si>
  <si>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</si>
  <si>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</si>
  <si>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</si>
  <si>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</si>
  <si>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Per 03 §2.3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</si>
  <si>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</si>
  <si>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</si>
  <si>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</si>
  <si>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</si>
  <si>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</si>
  <si>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</si>
  <si>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</si>
  <si>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</si>
  <si>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</si>
  <si>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</si>
  <si>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</si>
  <si>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</si>
  <si>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</si>
  <si>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</si>
  <si>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</si>
  <si>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</si>
  <si>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</si>
  <si>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</si>
  <si>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</si>
  <si>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</si>
  <si>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</si>
  <si>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</si>
  <si>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</si>
  <si>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</si>
  <si>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</si>
  <si>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</si>
  <si>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</si>
  <si>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</si>
  <si>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</si>
  <si>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</si>
  <si>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</si>
  <si>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</si>
  <si>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</si>
  <si>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</si>
  <si>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</si>
  <si>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</si>
  <si>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</si>
  <si>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</si>
  <si>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</si>
  <si>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</si>
  <si>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</si>
  <si>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</si>
  <si>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</si>
  <si>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</si>
  <si>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</si>
  <si>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</si>
  <si>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</si>
  <si>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</si>
  <si>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</si>
  <si>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</si>
  <si>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</si>
  <si>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</si>
  <si>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</si>
  <si>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</si>
  <si>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</si>
  <si>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</si>
  <si>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</si>
  <si>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</si>
  <si>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</si>
  <si>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</si>
  <si>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</si>
  <si>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</si>
  <si>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</si>
  <si>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</si>
  <si>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</si>
  <si>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</si>
  <si>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</si>
  <si>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</si>
  <si>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</si>
  <si>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</si>
  <si>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</si>
  <si>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</si>
  <si>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</si>
  <si>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</si>
  <si>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</si>
  <si>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</si>
  <si>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</si>
  <si>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</si>
  <si>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</si>
  <si>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</si>
  <si>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</si>
  <si>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</si>
  <si>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</si>
  <si>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</si>
  <si>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</si>
  <si>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</si>
  <si>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</si>
  <si>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</si>
  <si>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</si>
  <si>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</si>
  <si>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</si>
  <si>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</si>
  <si>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</si>
  <si>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</si>
  <si>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</si>
  <si>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</si>
  <si>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</si>
  <si>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</si>
  <si>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</si>
  <si>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</si>
  <si>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</si>
  <si>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</si>
  <si>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</si>
  <si>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</si>
  <si>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</si>
  <si>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</si>
  <si>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</si>
  <si>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</si>
  <si>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</si>
  <si>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</si>
  <si>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</si>
  <si>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</si>
  <si>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</si>
  <si>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</si>
  <si>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</si>
  <si>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</si>
  <si>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</si>
  <si>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</si>
  <si>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</si>
  <si>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</si>
  <si>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</si>
  <si>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</si>
  <si>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</si>
  <si>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</si>
  <si>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</si>
  <si>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</si>
  <si>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</si>
  <si>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</si>
  <si>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</si>
  <si>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</si>
  <si>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</si>
  <si>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</si>
  <si>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</si>
  <si>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</si>
  <si>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</si>
  <si>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</si>
  <si>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</si>
  <si>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</si>
  <si>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</si>
  <si>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</si>
  <si>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</si>
  <si>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</si>
  <si>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</si>
  <si>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</si>
  <si>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</si>
  <si>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 (times are in the Globals sheet)</t>
  </si>
  <si>
    <t xml:space="preserve">Indagatio tier</t>
  </si>
  <si>
    <t xml:space="preserve">Prob %</t>
  </si>
  <si>
    <t xml:space="preserve">Random anathema maleficium found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</si>
  <si>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</si>
  <si>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</si>
  <si>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</si>
  <si>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</si>
  <si>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</si>
  <si>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</si>
  <si>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</si>
  <si>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seller vulnerable; kill &amp; take free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</si>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</sst>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rgb="FF000000"/>
      <name val="Arial"/>
      <family val="0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D19" activeCellId="0" sqref="D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10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0.025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 t="s">
        <v>19</v>
      </c>
    </row>
    <row r="8" customFormat="false" ht="15" hidden="false" customHeight="false" outlineLevel="0" collapsed="false">
      <c r="A8" s="3" t="s">
        <v>20</v>
      </c>
      <c r="B8" s="7" t="n">
        <v>0.25</v>
      </c>
      <c r="C8" s="5" t="s">
        <v>21</v>
      </c>
      <c r="D8" s="6" t="s">
        <v>22</v>
      </c>
    </row>
    <row r="9" customFormat="false" ht="15" hidden="false" customHeight="false" outlineLevel="0" collapsed="false">
      <c r="A9" s="3" t="s">
        <v>23</v>
      </c>
      <c r="B9" s="7" t="n">
        <v>0.05</v>
      </c>
      <c r="C9" s="5" t="s">
        <v>21</v>
      </c>
      <c r="D9" s="6"/>
    </row>
    <row r="10" customFormat="false" ht="15" hidden="false" customHeight="false" outlineLevel="0" collapsed="false">
      <c r="A10" s="3" t="s">
        <v>24</v>
      </c>
      <c r="B10" s="7" t="n">
        <v>0.05</v>
      </c>
      <c r="C10" s="5" t="s">
        <v>14</v>
      </c>
      <c r="D10" s="6" t="s">
        <v>25</v>
      </c>
    </row>
    <row r="11" customFormat="false" ht="15" hidden="false" customHeight="false" outlineLevel="0" collapsed="false">
      <c r="A11" s="3" t="s">
        <v>26</v>
      </c>
      <c r="B11" s="7" t="n">
        <v>0.05</v>
      </c>
      <c r="C11" s="5" t="s">
        <v>14</v>
      </c>
      <c r="D11" s="6" t="s">
        <v>27</v>
      </c>
    </row>
    <row r="12" customFormat="false" ht="15" hidden="false" customHeight="false" outlineLevel="0" collapsed="false">
      <c r="A12" s="3" t="s">
        <v>28</v>
      </c>
      <c r="B12" s="7" t="n">
        <v>0.05</v>
      </c>
      <c r="C12" s="5" t="s">
        <v>14</v>
      </c>
      <c r="D12" s="6" t="s">
        <v>29</v>
      </c>
    </row>
    <row r="13" customFormat="false" ht="15" hidden="false" customHeight="false" outlineLevel="0" collapsed="false">
      <c r="A13" s="3" t="s">
        <v>30</v>
      </c>
      <c r="B13" s="7" t="n">
        <v>0.25</v>
      </c>
      <c r="C13" s="5" t="s">
        <v>14</v>
      </c>
      <c r="D13" s="6" t="s">
        <v>31</v>
      </c>
    </row>
    <row r="14" customFormat="false" ht="15" hidden="false" customHeight="false" outlineLevel="0" collapsed="false">
      <c r="A14" s="3" t="s">
        <v>32</v>
      </c>
      <c r="B14" s="4" t="n">
        <v>180</v>
      </c>
      <c r="C14" s="5" t="s">
        <v>33</v>
      </c>
      <c r="D14" s="6" t="s">
        <v>34</v>
      </c>
    </row>
    <row r="15" customFormat="false" ht="15" hidden="false" customHeight="false" outlineLevel="0" collapsed="false">
      <c r="A15" s="3" t="s">
        <v>35</v>
      </c>
      <c r="B15" s="4" t="n">
        <v>8398080000</v>
      </c>
      <c r="C15" s="5" t="s">
        <v>36</v>
      </c>
      <c r="D15" s="6" t="s">
        <v>37</v>
      </c>
    </row>
    <row r="16" customFormat="false" ht="15" hidden="false" customHeight="false" outlineLevel="0" collapsed="false">
      <c r="A16" s="3" t="s">
        <v>38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39</v>
      </c>
      <c r="B17" s="9" t="n">
        <v>10</v>
      </c>
      <c r="C17" s="5" t="s">
        <v>40</v>
      </c>
      <c r="D17" s="6"/>
    </row>
    <row r="18" customFormat="false" ht="15" hidden="false" customHeight="false" outlineLevel="0" collapsed="false">
      <c r="A18" s="3" t="s">
        <v>41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42</v>
      </c>
      <c r="B19" s="4" t="n">
        <v>10</v>
      </c>
      <c r="C19" s="5" t="s">
        <v>40</v>
      </c>
      <c r="D19" s="6"/>
    </row>
    <row r="20" customFormat="false" ht="15" hidden="false" customHeight="false" outlineLevel="0" collapsed="false">
      <c r="A20" s="3" t="s">
        <v>43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44</v>
      </c>
      <c r="B21" s="9" t="n">
        <v>1800</v>
      </c>
      <c r="C21" s="5" t="s">
        <v>45</v>
      </c>
      <c r="D21" s="3"/>
    </row>
    <row r="22" customFormat="false" ht="15" hidden="false" customHeight="false" outlineLevel="0" collapsed="false">
      <c r="A22" s="3" t="s">
        <v>46</v>
      </c>
      <c r="B22" s="9" t="n">
        <v>600</v>
      </c>
      <c r="C22" s="5" t="s">
        <v>45</v>
      </c>
      <c r="D22" s="3"/>
    </row>
    <row r="23" customFormat="false" ht="15" hidden="false" customHeight="false" outlineLevel="0" collapsed="false">
      <c r="A23" s="3" t="s">
        <v>47</v>
      </c>
      <c r="B23" s="9" t="n">
        <v>1</v>
      </c>
      <c r="C23" s="5"/>
      <c r="D23" s="3"/>
    </row>
    <row r="25" customFormat="false" ht="15" hidden="false" customHeight="false" outlineLevel="0" collapsed="false">
      <c r="A25" s="11" t="s">
        <v>48</v>
      </c>
      <c r="B25" s="12" t="n">
        <f aca="false">8*B14^4</f>
        <v>8398080000</v>
      </c>
      <c r="D25" s="3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50</v>
      </c>
    </row>
    <row r="2" customFormat="false" ht="15" hidden="false" customHeight="false" outlineLevel="0" collapsed="false">
      <c r="A2" s="14" t="s">
        <v>51</v>
      </c>
    </row>
    <row r="4" customFormat="false" ht="39.55" hidden="false" customHeight="false" outlineLevel="0" collapsed="false">
      <c r="A4" s="2" t="s">
        <v>52</v>
      </c>
      <c r="B4" s="2" t="s">
        <v>53</v>
      </c>
      <c r="C4" s="2" t="s">
        <v>54</v>
      </c>
      <c r="D4" s="2" t="s">
        <v>55</v>
      </c>
      <c r="E4" s="2" t="s">
        <v>56</v>
      </c>
      <c r="F4" s="2" t="s">
        <v>57</v>
      </c>
      <c r="G4" s="0"/>
      <c r="H4" s="0"/>
      <c r="I4" s="0"/>
      <c r="J4" s="0"/>
      <c r="K4" s="0"/>
      <c r="L4" s="0"/>
      <c r="M4" s="0"/>
    </row>
    <row r="5" customFormat="false" ht="23.85" hidden="false" customHeight="false" outlineLevel="0" collapsed="false">
      <c r="A5" s="3" t="s">
        <v>58</v>
      </c>
      <c r="B5" s="3" t="s">
        <v>59</v>
      </c>
      <c r="C5" s="3" t="s">
        <v>60</v>
      </c>
      <c r="D5" s="3" t="s">
        <v>61</v>
      </c>
      <c r="E5" s="6" t="s">
        <v>62</v>
      </c>
      <c r="F5" s="6" t="s">
        <v>63</v>
      </c>
      <c r="G5" s="0"/>
      <c r="H5" s="0"/>
      <c r="I5" s="0"/>
      <c r="J5" s="0"/>
      <c r="K5" s="0"/>
      <c r="L5" s="0"/>
      <c r="M5" s="0"/>
    </row>
    <row r="6" customFormat="false" ht="23.85" hidden="false" customHeight="false" outlineLevel="0" collapsed="false">
      <c r="A6" s="3" t="s">
        <v>64</v>
      </c>
      <c r="B6" s="3" t="s">
        <v>65</v>
      </c>
      <c r="C6" s="3" t="s">
        <v>66</v>
      </c>
      <c r="D6" s="3" t="s">
        <v>67</v>
      </c>
      <c r="E6" s="6" t="s">
        <v>68</v>
      </c>
      <c r="F6" s="6" t="s">
        <v>69</v>
      </c>
      <c r="G6" s="0"/>
      <c r="H6" s="0"/>
      <c r="I6" s="0"/>
      <c r="J6" s="0"/>
      <c r="K6" s="0"/>
      <c r="L6" s="0"/>
      <c r="M6" s="0"/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72</v>
      </c>
      <c r="D7" s="3" t="s">
        <v>73</v>
      </c>
      <c r="E7" s="6" t="s">
        <v>74</v>
      </c>
      <c r="F7" s="6" t="s">
        <v>75</v>
      </c>
      <c r="G7" s="0"/>
      <c r="H7" s="0"/>
      <c r="I7" s="0"/>
      <c r="J7" s="0"/>
      <c r="K7" s="0"/>
      <c r="L7" s="0"/>
      <c r="M7" s="0"/>
    </row>
    <row r="8" customFormat="false" ht="15" hidden="false" customHeight="false" outlineLevel="0" collapsed="false">
      <c r="A8" s="3" t="s">
        <v>76</v>
      </c>
      <c r="B8" s="3" t="s">
        <v>77</v>
      </c>
      <c r="C8" s="3" t="s">
        <v>78</v>
      </c>
      <c r="D8" s="3" t="s">
        <v>79</v>
      </c>
      <c r="E8" s="6" t="s">
        <v>80</v>
      </c>
      <c r="F8" s="6" t="s">
        <v>81</v>
      </c>
      <c r="G8" s="0"/>
      <c r="H8" s="0"/>
      <c r="I8" s="0"/>
      <c r="J8" s="0"/>
      <c r="K8" s="0"/>
      <c r="L8" s="0"/>
      <c r="M8" s="0"/>
    </row>
    <row r="9" customFormat="false" ht="23.85" hidden="false" customHeight="false" outlineLevel="0" collapsed="false">
      <c r="A9" s="3" t="s">
        <v>82</v>
      </c>
      <c r="B9" s="3" t="s">
        <v>83</v>
      </c>
      <c r="C9" s="3" t="s">
        <v>84</v>
      </c>
      <c r="D9" s="3" t="s">
        <v>85</v>
      </c>
      <c r="E9" s="6" t="s">
        <v>86</v>
      </c>
      <c r="F9" s="6" t="s">
        <v>87</v>
      </c>
      <c r="G9" s="0"/>
      <c r="H9" s="0"/>
      <c r="I9" s="0"/>
      <c r="J9" s="0"/>
      <c r="K9" s="0"/>
      <c r="L9" s="0"/>
      <c r="M9" s="0"/>
    </row>
    <row r="10" customFormat="false" ht="15" hidden="false" customHeight="false" outlineLevel="0" collapsed="false">
      <c r="A10" s="3" t="s">
        <v>88</v>
      </c>
      <c r="B10" s="3" t="s">
        <v>89</v>
      </c>
      <c r="C10" s="3" t="s">
        <v>90</v>
      </c>
      <c r="D10" s="3" t="s">
        <v>91</v>
      </c>
      <c r="E10" s="6" t="s">
        <v>92</v>
      </c>
      <c r="F10" s="6" t="s">
        <v>93</v>
      </c>
      <c r="G10" s="0"/>
      <c r="H10" s="0"/>
      <c r="I10" s="0"/>
      <c r="J10" s="0"/>
      <c r="K10" s="0"/>
      <c r="L10" s="0"/>
      <c r="M10" s="0"/>
    </row>
    <row r="11" customFormat="false" ht="15" hidden="false" customHeight="false" outlineLevel="0" collapsed="false">
      <c r="A11" s="3" t="s">
        <v>94</v>
      </c>
      <c r="B11" s="3" t="s">
        <v>95</v>
      </c>
      <c r="C11" s="3" t="s">
        <v>96</v>
      </c>
      <c r="D11" s="3" t="s">
        <v>97</v>
      </c>
      <c r="E11" s="6" t="s">
        <v>98</v>
      </c>
      <c r="F11" s="6" t="s">
        <v>99</v>
      </c>
      <c r="G11" s="0"/>
      <c r="H11" s="0"/>
      <c r="I11" s="0"/>
      <c r="J11" s="0"/>
      <c r="K11" s="0"/>
      <c r="L11" s="0"/>
      <c r="M11" s="0"/>
    </row>
    <row r="12" customFormat="false" ht="15" hidden="false" customHeight="false" outlineLevel="0" collapsed="false">
      <c r="A12" s="3" t="s">
        <v>100</v>
      </c>
      <c r="B12" s="3" t="s">
        <v>101</v>
      </c>
      <c r="C12" s="3" t="s">
        <v>102</v>
      </c>
      <c r="D12" s="3" t="s">
        <v>103</v>
      </c>
      <c r="E12" s="6" t="s">
        <v>104</v>
      </c>
      <c r="F12" s="6" t="s">
        <v>105</v>
      </c>
      <c r="G12" s="0"/>
      <c r="H12" s="0"/>
      <c r="I12" s="0"/>
      <c r="J12" s="0"/>
      <c r="K12" s="0"/>
      <c r="L12" s="0"/>
      <c r="M12" s="0"/>
    </row>
    <row r="15" customFormat="false" ht="15" hidden="false" customHeight="false" outlineLevel="0" collapsed="false">
      <c r="A15" s="15" t="s">
        <v>106</v>
      </c>
      <c r="B15" s="15"/>
      <c r="C15" s="15"/>
      <c r="D15" s="15"/>
      <c r="E15" s="15"/>
      <c r="F15" s="15"/>
      <c r="G15" s="15"/>
    </row>
    <row r="16" customFormat="false" ht="39.55" hidden="false" customHeight="false" outlineLevel="0" collapsed="false">
      <c r="A16" s="2" t="s">
        <v>107</v>
      </c>
      <c r="B16" s="2" t="s">
        <v>108</v>
      </c>
    </row>
    <row r="17" customFormat="false" ht="15" hidden="false" customHeight="false" outlineLevel="0" collapsed="false">
      <c r="A17" s="4" t="n">
        <v>1</v>
      </c>
      <c r="B17" s="16" t="n">
        <f aca="false">(LN(A17)^2)/6.537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(LN(A18)^2)/6.537</f>
        <v>0.811059830270522</v>
      </c>
    </row>
    <row r="19" customFormat="false" ht="15" hidden="false" customHeight="false" outlineLevel="0" collapsed="false">
      <c r="A19" s="4" t="n">
        <v>50</v>
      </c>
      <c r="B19" s="16" t="n">
        <f aca="false">(LN(A19)^2)/6.537</f>
        <v>2.34112345035935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(LN(A20)^2)/6.537</f>
        <v>4.12525636457206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(LN(A21)^2)/6.537</f>
        <v>7.29953847243469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(LN(A22)^2)/6.537</f>
        <v>16.5010254582882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(LN(A23)^2)/6.537</f>
        <v>37.1273072811486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(LN(A24)^2)/6.537</f>
        <v>66.004101833153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109</v>
      </c>
    </row>
    <row r="2" customFormat="false" ht="15" hidden="false" customHeight="false" outlineLevel="0" collapsed="false">
      <c r="A2" s="14" t="s">
        <v>110</v>
      </c>
    </row>
    <row r="4" customFormat="false" ht="26.85" hidden="false" customHeight="false" outlineLevel="0" collapsed="false">
      <c r="A4" s="2" t="s">
        <v>111</v>
      </c>
      <c r="B4" s="2" t="s">
        <v>112</v>
      </c>
      <c r="C4" s="2" t="s">
        <v>113</v>
      </c>
      <c r="D4" s="2" t="s">
        <v>114</v>
      </c>
    </row>
    <row r="5" customFormat="false" ht="15" hidden="false" customHeight="false" outlineLevel="0" collapsed="false">
      <c r="A5" s="17" t="s">
        <v>115</v>
      </c>
      <c r="B5" s="5" t="s">
        <v>116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117</v>
      </c>
      <c r="B6" s="5" t="s">
        <v>118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119</v>
      </c>
      <c r="B7" s="5" t="s">
        <v>120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121</v>
      </c>
      <c r="B8" s="5" t="s">
        <v>122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123</v>
      </c>
      <c r="B9" s="5" t="s">
        <v>124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125</v>
      </c>
      <c r="B10" s="5" t="s">
        <v>126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127</v>
      </c>
      <c r="B11" s="5" t="s">
        <v>128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129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0" width="11.53"/>
  </cols>
  <sheetData>
    <row r="1" customFormat="false" ht="19.7" hidden="false" customHeight="false" outlineLevel="0" collapsed="false">
      <c r="A1" s="13" t="s">
        <v>131</v>
      </c>
    </row>
    <row r="2" customFormat="false" ht="15" hidden="false" customHeight="false" outlineLevel="0" collapsed="false">
      <c r="A2" s="14" t="s">
        <v>132</v>
      </c>
    </row>
    <row r="4" customFormat="false" ht="15" hidden="false" customHeight="false" outlineLevel="0" collapsed="false">
      <c r="A4" s="15" t="s">
        <v>133</v>
      </c>
      <c r="B4" s="15"/>
      <c r="C4" s="15"/>
    </row>
    <row r="5" customFormat="false" ht="15" hidden="false" customHeight="true" outlineLevel="0" collapsed="false">
      <c r="A5" s="28" t="s">
        <v>134</v>
      </c>
      <c r="B5" s="28"/>
      <c r="C5" s="28"/>
    </row>
    <row r="6" customFormat="false" ht="26.85" hidden="false" customHeight="false" outlineLevel="0" collapsed="false">
      <c r="A6" s="2" t="s">
        <v>111</v>
      </c>
      <c r="B6" s="2" t="s">
        <v>135</v>
      </c>
      <c r="C6" s="2" t="s">
        <v>136</v>
      </c>
    </row>
    <row r="7" customFormat="false" ht="15" hidden="false" customHeight="false" outlineLevel="0" collapsed="false">
      <c r="A7" s="17" t="s">
        <v>115</v>
      </c>
      <c r="B7" s="10" t="n">
        <v>0.001</v>
      </c>
      <c r="C7" s="6" t="s">
        <v>137</v>
      </c>
    </row>
    <row r="8" customFormat="false" ht="15" hidden="false" customHeight="false" outlineLevel="0" collapsed="false">
      <c r="A8" s="20" t="s">
        <v>117</v>
      </c>
      <c r="B8" s="10" t="n">
        <v>0.149</v>
      </c>
      <c r="C8" s="6" t="s">
        <v>138</v>
      </c>
    </row>
    <row r="9" customFormat="false" ht="15" hidden="false" customHeight="false" outlineLevel="0" collapsed="false">
      <c r="A9" s="21" t="s">
        <v>119</v>
      </c>
      <c r="B9" s="10" t="n">
        <v>0.5</v>
      </c>
      <c r="C9" s="6" t="s">
        <v>139</v>
      </c>
    </row>
    <row r="10" customFormat="false" ht="15" hidden="false" customHeight="false" outlineLevel="0" collapsed="false">
      <c r="A10" s="22" t="s">
        <v>121</v>
      </c>
      <c r="B10" s="10" t="n">
        <v>0.2</v>
      </c>
      <c r="C10" s="6" t="s">
        <v>140</v>
      </c>
    </row>
    <row r="11" customFormat="false" ht="15" hidden="false" customHeight="false" outlineLevel="0" collapsed="false">
      <c r="A11" s="23" t="s">
        <v>123</v>
      </c>
      <c r="B11" s="10" t="n">
        <v>0.125</v>
      </c>
      <c r="C11" s="6" t="s">
        <v>141</v>
      </c>
    </row>
    <row r="12" customFormat="false" ht="15" hidden="false" customHeight="false" outlineLevel="0" collapsed="false">
      <c r="A12" s="24" t="s">
        <v>125</v>
      </c>
      <c r="B12" s="10" t="n">
        <v>0.025</v>
      </c>
      <c r="C12" s="6" t="s">
        <v>142</v>
      </c>
    </row>
    <row r="13" customFormat="false" ht="15" hidden="false" customHeight="false" outlineLevel="0" collapsed="false">
      <c r="A13" s="11" t="s">
        <v>143</v>
      </c>
      <c r="B13" s="29" t="n">
        <f aca="false">SUM(B7:B12)</f>
        <v>1</v>
      </c>
      <c r="C13" s="3" t="s">
        <v>144</v>
      </c>
    </row>
    <row r="15" customFormat="false" ht="15" hidden="false" customHeight="false" outlineLevel="0" collapsed="false">
      <c r="A15" s="15" t="s">
        <v>145</v>
      </c>
      <c r="B15" s="15"/>
      <c r="C15" s="15"/>
    </row>
    <row r="16" customFormat="false" ht="15" hidden="false" customHeight="true" outlineLevel="0" collapsed="false">
      <c r="A16" s="28" t="s">
        <v>146</v>
      </c>
      <c r="B16" s="28"/>
      <c r="C16" s="28"/>
    </row>
    <row r="17" customFormat="false" ht="26.85" hidden="false" customHeight="false" outlineLevel="0" collapsed="false">
      <c r="A17" s="2" t="s">
        <v>111</v>
      </c>
      <c r="B17" s="2" t="s">
        <v>135</v>
      </c>
      <c r="C17" s="2" t="s">
        <v>136</v>
      </c>
    </row>
    <row r="18" customFormat="false" ht="15" hidden="false" customHeight="false" outlineLevel="0" collapsed="false">
      <c r="A18" s="17" t="s">
        <v>115</v>
      </c>
      <c r="B18" s="10" t="n">
        <v>0.025</v>
      </c>
      <c r="C18" s="6" t="s">
        <v>147</v>
      </c>
    </row>
    <row r="19" customFormat="false" ht="15" hidden="false" customHeight="false" outlineLevel="0" collapsed="false">
      <c r="A19" s="20" t="s">
        <v>117</v>
      </c>
      <c r="B19" s="10" t="n">
        <v>0.2</v>
      </c>
      <c r="C19" s="6" t="s">
        <v>148</v>
      </c>
    </row>
    <row r="20" customFormat="false" ht="15" hidden="false" customHeight="false" outlineLevel="0" collapsed="false">
      <c r="A20" s="21" t="s">
        <v>119</v>
      </c>
      <c r="B20" s="10" t="n">
        <v>0.525</v>
      </c>
      <c r="C20" s="6" t="s">
        <v>149</v>
      </c>
    </row>
    <row r="21" customFormat="false" ht="15" hidden="false" customHeight="false" outlineLevel="0" collapsed="false">
      <c r="A21" s="22" t="s">
        <v>121</v>
      </c>
      <c r="B21" s="10" t="n">
        <v>0.175</v>
      </c>
      <c r="C21" s="6" t="s">
        <v>140</v>
      </c>
    </row>
    <row r="22" customFormat="false" ht="15" hidden="false" customHeight="false" outlineLevel="0" collapsed="false">
      <c r="A22" s="23" t="s">
        <v>123</v>
      </c>
      <c r="B22" s="10" t="n">
        <v>0.06</v>
      </c>
      <c r="C22" s="6" t="s">
        <v>150</v>
      </c>
    </row>
    <row r="23" customFormat="false" ht="15" hidden="false" customHeight="false" outlineLevel="0" collapsed="false">
      <c r="A23" s="24" t="s">
        <v>125</v>
      </c>
      <c r="B23" s="10" t="n">
        <v>0.015</v>
      </c>
      <c r="C23" s="6" t="s">
        <v>142</v>
      </c>
    </row>
    <row r="24" customFormat="false" ht="15" hidden="false" customHeight="false" outlineLevel="0" collapsed="false">
      <c r="A24" s="11" t="s">
        <v>143</v>
      </c>
      <c r="B24" s="29" t="n">
        <f aca="false">SUM(B18:B23)</f>
        <v>1</v>
      </c>
      <c r="C24" s="3" t="s">
        <v>144</v>
      </c>
    </row>
    <row r="26" customFormat="false" ht="15" hidden="false" customHeight="false" outlineLevel="0" collapsed="false">
      <c r="A26" s="15" t="s">
        <v>151</v>
      </c>
      <c r="B26" s="15"/>
      <c r="C26" s="15"/>
    </row>
    <row r="27" customFormat="false" ht="15" hidden="false" customHeight="true" outlineLevel="0" collapsed="false">
      <c r="A27" s="28" t="s">
        <v>152</v>
      </c>
      <c r="B27" s="28"/>
      <c r="C27" s="28"/>
    </row>
    <row r="28" customFormat="false" ht="26.85" hidden="false" customHeight="false" outlineLevel="0" collapsed="false">
      <c r="A28" s="2" t="s">
        <v>111</v>
      </c>
      <c r="B28" s="2" t="s">
        <v>135</v>
      </c>
      <c r="C28" s="2" t="s">
        <v>136</v>
      </c>
    </row>
    <row r="29" customFormat="false" ht="15" hidden="false" customHeight="false" outlineLevel="0" collapsed="false">
      <c r="A29" s="21" t="s">
        <v>119</v>
      </c>
      <c r="B29" s="19" t="n">
        <v>1</v>
      </c>
      <c r="C29" s="6" t="s">
        <v>153</v>
      </c>
    </row>
    <row r="30" customFormat="false" ht="15" hidden="false" customHeight="false" outlineLevel="0" collapsed="false">
      <c r="A30" s="11" t="s">
        <v>143</v>
      </c>
      <c r="B30" s="29" t="n">
        <f aca="false">SUM(B29)</f>
        <v>1</v>
      </c>
      <c r="C30" s="3" t="s">
        <v>144</v>
      </c>
    </row>
    <row r="32" customFormat="false" ht="15" hidden="false" customHeight="false" outlineLevel="0" collapsed="false">
      <c r="A32" s="3" t="s">
        <v>154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0" width="11.53"/>
  </cols>
  <sheetData>
    <row r="1" customFormat="false" ht="19.7" hidden="false" customHeight="false" outlineLevel="0" collapsed="false">
      <c r="A1" s="13" t="s">
        <v>155</v>
      </c>
    </row>
    <row r="2" customFormat="false" ht="15" hidden="false" customHeight="false" outlineLevel="0" collapsed="false">
      <c r="A2" s="14" t="s">
        <v>156</v>
      </c>
    </row>
    <row r="4" customFormat="false" ht="15" hidden="false" customHeight="false" outlineLevel="0" collapsed="false">
      <c r="A4" s="15" t="s">
        <v>157</v>
      </c>
      <c r="B4" s="15"/>
      <c r="C4" s="15"/>
    </row>
    <row r="5" customFormat="false" ht="15" hidden="false" customHeight="true" outlineLevel="0" collapsed="false">
      <c r="A5" s="28" t="s">
        <v>158</v>
      </c>
      <c r="B5" s="28"/>
      <c r="C5" s="28"/>
    </row>
    <row r="6" customFormat="false" ht="26.85" hidden="false" customHeight="false" outlineLevel="0" collapsed="false">
      <c r="A6" s="2" t="s">
        <v>111</v>
      </c>
      <c r="B6" s="2" t="s">
        <v>135</v>
      </c>
      <c r="C6" s="2" t="s">
        <v>136</v>
      </c>
    </row>
    <row r="7" customFormat="false" ht="35.05" hidden="false" customHeight="false" outlineLevel="0" collapsed="false">
      <c r="A7" s="17" t="s">
        <v>115</v>
      </c>
      <c r="B7" s="30" t="n">
        <v>0.01</v>
      </c>
      <c r="C7" s="6" t="s">
        <v>159</v>
      </c>
    </row>
    <row r="8" customFormat="false" ht="23.85" hidden="false" customHeight="false" outlineLevel="0" collapsed="false">
      <c r="A8" s="20" t="s">
        <v>117</v>
      </c>
      <c r="B8" s="30" t="n">
        <v>0.04</v>
      </c>
      <c r="C8" s="6" t="s">
        <v>160</v>
      </c>
    </row>
    <row r="9" customFormat="false" ht="15" hidden="false" customHeight="false" outlineLevel="0" collapsed="false">
      <c r="A9" s="21" t="s">
        <v>119</v>
      </c>
      <c r="B9" s="30" t="n">
        <v>0.5</v>
      </c>
      <c r="C9" s="6" t="s">
        <v>161</v>
      </c>
    </row>
    <row r="10" customFormat="false" ht="15" hidden="false" customHeight="false" outlineLevel="0" collapsed="false">
      <c r="A10" s="22" t="s">
        <v>121</v>
      </c>
      <c r="B10" s="30" t="n">
        <v>0.25</v>
      </c>
      <c r="C10" s="6" t="s">
        <v>162</v>
      </c>
    </row>
    <row r="11" customFormat="false" ht="15" hidden="false" customHeight="false" outlineLevel="0" collapsed="false">
      <c r="A11" s="23" t="s">
        <v>123</v>
      </c>
      <c r="B11" s="30" t="n">
        <v>0.15</v>
      </c>
      <c r="C11" s="6" t="s">
        <v>163</v>
      </c>
    </row>
    <row r="12" customFormat="false" ht="23.85" hidden="false" customHeight="false" outlineLevel="0" collapsed="false">
      <c r="A12" s="24" t="s">
        <v>125</v>
      </c>
      <c r="B12" s="30" t="n">
        <v>0.04</v>
      </c>
      <c r="C12" s="6" t="s">
        <v>164</v>
      </c>
    </row>
    <row r="13" customFormat="false" ht="35.05" hidden="false" customHeight="false" outlineLevel="0" collapsed="false">
      <c r="A13" s="25" t="s">
        <v>127</v>
      </c>
      <c r="B13" s="30" t="n">
        <v>0.01</v>
      </c>
      <c r="C13" s="31" t="s">
        <v>165</v>
      </c>
    </row>
    <row r="14" customFormat="false" ht="15" hidden="false" customHeight="false" outlineLevel="0" collapsed="false">
      <c r="A14" s="11" t="s">
        <v>143</v>
      </c>
      <c r="B14" s="29" t="n">
        <f aca="false">SUM(B7:B13)</f>
        <v>1</v>
      </c>
      <c r="C14" s="3" t="s">
        <v>144</v>
      </c>
    </row>
    <row r="16" customFormat="false" ht="15" hidden="false" customHeight="false" outlineLevel="0" collapsed="false">
      <c r="A16" s="15" t="s">
        <v>166</v>
      </c>
      <c r="B16" s="15"/>
      <c r="C16" s="15"/>
    </row>
    <row r="17" customFormat="false" ht="15" hidden="false" customHeight="true" outlineLevel="0" collapsed="false">
      <c r="A17" s="28" t="s">
        <v>167</v>
      </c>
      <c r="B17" s="28"/>
      <c r="C17" s="28"/>
    </row>
    <row r="18" customFormat="false" ht="26.85" hidden="false" customHeight="false" outlineLevel="0" collapsed="false">
      <c r="A18" s="2" t="s">
        <v>111</v>
      </c>
      <c r="B18" s="2" t="s">
        <v>135</v>
      </c>
      <c r="C18" s="2" t="s">
        <v>136</v>
      </c>
    </row>
    <row r="19" customFormat="false" ht="15" hidden="false" customHeight="false" outlineLevel="0" collapsed="false">
      <c r="A19" s="17" t="s">
        <v>115</v>
      </c>
      <c r="B19" s="30" t="n">
        <v>0.01</v>
      </c>
      <c r="C19" s="6" t="s">
        <v>168</v>
      </c>
    </row>
    <row r="20" customFormat="false" ht="15" hidden="false" customHeight="false" outlineLevel="0" collapsed="false">
      <c r="A20" s="20" t="s">
        <v>117</v>
      </c>
      <c r="B20" s="30" t="n">
        <v>0.04</v>
      </c>
      <c r="C20" s="6" t="s">
        <v>169</v>
      </c>
    </row>
    <row r="21" customFormat="false" ht="15" hidden="false" customHeight="false" outlineLevel="0" collapsed="false">
      <c r="A21" s="21" t="s">
        <v>119</v>
      </c>
      <c r="B21" s="30" t="n">
        <v>0.5</v>
      </c>
      <c r="C21" s="6" t="s">
        <v>170</v>
      </c>
    </row>
    <row r="22" customFormat="false" ht="15" hidden="false" customHeight="false" outlineLevel="0" collapsed="false">
      <c r="A22" s="22" t="s">
        <v>121</v>
      </c>
      <c r="B22" s="30" t="n">
        <v>0.25</v>
      </c>
      <c r="C22" s="6" t="s">
        <v>171</v>
      </c>
    </row>
    <row r="23" customFormat="false" ht="15" hidden="false" customHeight="false" outlineLevel="0" collapsed="false">
      <c r="A23" s="23" t="s">
        <v>123</v>
      </c>
      <c r="B23" s="30" t="n">
        <v>0.15</v>
      </c>
      <c r="C23" s="6" t="s">
        <v>172</v>
      </c>
    </row>
    <row r="24" customFormat="false" ht="15" hidden="false" customHeight="false" outlineLevel="0" collapsed="false">
      <c r="A24" s="24" t="s">
        <v>125</v>
      </c>
      <c r="B24" s="30" t="n">
        <v>0.04</v>
      </c>
      <c r="C24" s="6" t="s">
        <v>173</v>
      </c>
    </row>
    <row r="25" customFormat="false" ht="23.85" hidden="false" customHeight="false" outlineLevel="0" collapsed="false">
      <c r="A25" s="25" t="s">
        <v>127</v>
      </c>
      <c r="B25" s="30" t="n">
        <v>0.01</v>
      </c>
      <c r="C25" s="6" t="s">
        <v>174</v>
      </c>
    </row>
    <row r="26" customFormat="false" ht="15" hidden="false" customHeight="false" outlineLevel="0" collapsed="false">
      <c r="A26" s="11" t="s">
        <v>143</v>
      </c>
      <c r="B26" s="29" t="n">
        <f aca="false">SUM(B19:B25)</f>
        <v>1</v>
      </c>
      <c r="C26" s="3" t="s">
        <v>144</v>
      </c>
    </row>
    <row r="28" customFormat="false" ht="15" hidden="false" customHeight="false" outlineLevel="0" collapsed="false">
      <c r="A28" s="15" t="s">
        <v>175</v>
      </c>
      <c r="B28" s="15"/>
      <c r="C28" s="15"/>
    </row>
    <row r="29" customFormat="false" ht="15" hidden="false" customHeight="true" outlineLevel="0" collapsed="false">
      <c r="A29" s="28" t="s">
        <v>176</v>
      </c>
      <c r="B29" s="28"/>
      <c r="C29" s="28"/>
    </row>
    <row r="30" customFormat="false" ht="26.85" hidden="false" customHeight="false" outlineLevel="0" collapsed="false">
      <c r="A30" s="2" t="s">
        <v>111</v>
      </c>
      <c r="B30" s="2" t="s">
        <v>135</v>
      </c>
      <c r="C30" s="2" t="s">
        <v>136</v>
      </c>
    </row>
    <row r="31" customFormat="false" ht="15" hidden="false" customHeight="false" outlineLevel="0" collapsed="false">
      <c r="A31" s="17" t="s">
        <v>115</v>
      </c>
      <c r="B31" s="30" t="n">
        <v>0.01</v>
      </c>
      <c r="C31" s="6" t="s">
        <v>177</v>
      </c>
    </row>
    <row r="32" customFormat="false" ht="15" hidden="false" customHeight="false" outlineLevel="0" collapsed="false">
      <c r="A32" s="20" t="s">
        <v>117</v>
      </c>
      <c r="B32" s="30" t="n">
        <v>0.04</v>
      </c>
      <c r="C32" s="6" t="s">
        <v>178</v>
      </c>
    </row>
    <row r="33" customFormat="false" ht="15" hidden="false" customHeight="false" outlineLevel="0" collapsed="false">
      <c r="A33" s="21" t="s">
        <v>119</v>
      </c>
      <c r="B33" s="30" t="n">
        <v>0.5</v>
      </c>
      <c r="C33" s="6" t="s">
        <v>179</v>
      </c>
    </row>
    <row r="34" customFormat="false" ht="15" hidden="false" customHeight="false" outlineLevel="0" collapsed="false">
      <c r="A34" s="22" t="s">
        <v>121</v>
      </c>
      <c r="B34" s="30" t="n">
        <v>0.25</v>
      </c>
      <c r="C34" s="6" t="s">
        <v>171</v>
      </c>
    </row>
    <row r="35" customFormat="false" ht="15" hidden="false" customHeight="false" outlineLevel="0" collapsed="false">
      <c r="A35" s="23" t="s">
        <v>123</v>
      </c>
      <c r="B35" s="30" t="n">
        <v>0.15</v>
      </c>
      <c r="C35" s="6" t="s">
        <v>172</v>
      </c>
    </row>
    <row r="36" customFormat="false" ht="15" hidden="false" customHeight="false" outlineLevel="0" collapsed="false">
      <c r="A36" s="24" t="s">
        <v>125</v>
      </c>
      <c r="B36" s="30" t="n">
        <v>0.04</v>
      </c>
      <c r="C36" s="6" t="s">
        <v>173</v>
      </c>
    </row>
    <row r="37" customFormat="false" ht="15" hidden="false" customHeight="false" outlineLevel="0" collapsed="false">
      <c r="A37" s="25" t="s">
        <v>127</v>
      </c>
      <c r="B37" s="30" t="n">
        <v>0.01</v>
      </c>
      <c r="C37" s="6" t="s">
        <v>180</v>
      </c>
    </row>
    <row r="38" customFormat="false" ht="15" hidden="false" customHeight="false" outlineLevel="0" collapsed="false">
      <c r="A38" s="11" t="s">
        <v>143</v>
      </c>
      <c r="B38" s="29" t="n">
        <f aca="false">SUM(B31:B37)</f>
        <v>1</v>
      </c>
      <c r="C38" s="3" t="s">
        <v>144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181</v>
      </c>
    </row>
    <row r="2" customFormat="false" ht="15" hidden="false" customHeight="false" outlineLevel="0" collapsed="false">
      <c r="A2" s="14" t="s">
        <v>182</v>
      </c>
    </row>
    <row r="4" customFormat="false" ht="26.85" hidden="false" customHeight="false" outlineLevel="0" collapsed="false">
      <c r="A4" s="2" t="s">
        <v>183</v>
      </c>
      <c r="B4" s="2" t="s">
        <v>111</v>
      </c>
      <c r="C4" s="2" t="s">
        <v>184</v>
      </c>
      <c r="D4" s="2" t="s">
        <v>185</v>
      </c>
      <c r="E4" s="2" t="s">
        <v>186</v>
      </c>
      <c r="F4" s="2" t="s">
        <v>187</v>
      </c>
      <c r="G4" s="2" t="s">
        <v>188</v>
      </c>
      <c r="H4" s="2" t="s">
        <v>189</v>
      </c>
      <c r="I4" s="2" t="s">
        <v>190</v>
      </c>
      <c r="J4" s="2" t="s">
        <v>191</v>
      </c>
    </row>
    <row r="5" customFormat="false" ht="15" hidden="false" customHeight="false" outlineLevel="0" collapsed="false">
      <c r="A5" s="11" t="s">
        <v>59</v>
      </c>
      <c r="B5" s="5" t="n">
        <v>1</v>
      </c>
      <c r="C5" s="3" t="s">
        <v>192</v>
      </c>
      <c r="D5" s="5" t="n">
        <v>1</v>
      </c>
      <c r="E5" s="5" t="n">
        <v>1000</v>
      </c>
      <c r="F5" s="5" t="n">
        <v>60</v>
      </c>
      <c r="G5" s="32" t="n">
        <v>10</v>
      </c>
      <c r="H5" s="32" t="n">
        <v>1</v>
      </c>
      <c r="I5" s="33" t="n">
        <v>0.01</v>
      </c>
      <c r="J5" s="5" t="s">
        <v>193</v>
      </c>
    </row>
    <row r="6" customFormat="false" ht="15" hidden="false" customHeight="false" outlineLevel="0" collapsed="false">
      <c r="A6" s="3" t="s">
        <v>59</v>
      </c>
      <c r="B6" s="5" t="n">
        <v>2</v>
      </c>
      <c r="C6" s="3" t="s">
        <v>194</v>
      </c>
      <c r="D6" s="5" t="n">
        <v>2</v>
      </c>
      <c r="E6" s="5" t="n">
        <v>10000</v>
      </c>
      <c r="F6" s="5" t="n">
        <v>1800</v>
      </c>
      <c r="G6" s="32" t="n">
        <v>50</v>
      </c>
      <c r="H6" s="32" t="n">
        <v>5</v>
      </c>
      <c r="I6" s="33" t="n">
        <v>0.025</v>
      </c>
      <c r="J6" s="5" t="s">
        <v>193</v>
      </c>
    </row>
    <row r="7" customFormat="false" ht="15" hidden="false" customHeight="false" outlineLevel="0" collapsed="false">
      <c r="A7" s="3" t="s">
        <v>59</v>
      </c>
      <c r="B7" s="5" t="n">
        <v>3</v>
      </c>
      <c r="C7" s="3" t="s">
        <v>195</v>
      </c>
      <c r="D7" s="5" t="n">
        <v>3</v>
      </c>
      <c r="E7" s="5" t="n">
        <v>1000000</v>
      </c>
      <c r="F7" s="5" t="n">
        <v>36000</v>
      </c>
      <c r="G7" s="32" t="n">
        <v>750</v>
      </c>
      <c r="H7" s="32" t="n">
        <v>25</v>
      </c>
      <c r="I7" s="33" t="n">
        <v>0.05</v>
      </c>
      <c r="J7" s="5" t="s">
        <v>193</v>
      </c>
    </row>
    <row r="8" customFormat="false" ht="15" hidden="false" customHeight="false" outlineLevel="0" collapsed="false">
      <c r="A8" s="3" t="s">
        <v>59</v>
      </c>
      <c r="B8" s="5" t="n">
        <v>4</v>
      </c>
      <c r="C8" s="3" t="s">
        <v>196</v>
      </c>
      <c r="D8" s="5" t="n">
        <v>4</v>
      </c>
      <c r="E8" s="5" t="n">
        <v>1000000000</v>
      </c>
      <c r="F8" s="5" t="n">
        <v>500000</v>
      </c>
      <c r="G8" s="32" t="n">
        <v>40000</v>
      </c>
      <c r="H8" s="32" t="n">
        <v>500</v>
      </c>
      <c r="I8" s="33" t="n">
        <v>0.1</v>
      </c>
      <c r="J8" s="5" t="s">
        <v>193</v>
      </c>
    </row>
    <row r="9" customFormat="false" ht="15" hidden="false" customHeight="false" outlineLevel="0" collapsed="false">
      <c r="A9" s="11" t="s">
        <v>65</v>
      </c>
      <c r="B9" s="5" t="n">
        <v>1</v>
      </c>
      <c r="C9" s="3" t="s">
        <v>197</v>
      </c>
      <c r="D9" s="5" t="n">
        <v>1</v>
      </c>
      <c r="E9" s="5" t="n">
        <v>1000</v>
      </c>
      <c r="F9" s="5" t="n">
        <v>60</v>
      </c>
      <c r="G9" s="32" t="n">
        <v>10</v>
      </c>
      <c r="H9" s="32" t="n">
        <v>1</v>
      </c>
      <c r="I9" s="33" t="n">
        <v>0.01</v>
      </c>
      <c r="J9" s="5" t="s">
        <v>198</v>
      </c>
    </row>
    <row r="10" customFormat="false" ht="15" hidden="false" customHeight="false" outlineLevel="0" collapsed="false">
      <c r="A10" s="3" t="s">
        <v>65</v>
      </c>
      <c r="B10" s="5" t="n">
        <v>2</v>
      </c>
      <c r="C10" s="3" t="s">
        <v>199</v>
      </c>
      <c r="D10" s="5" t="n">
        <v>2</v>
      </c>
      <c r="E10" s="5" t="n">
        <v>10000</v>
      </c>
      <c r="F10" s="5" t="n">
        <v>1800</v>
      </c>
      <c r="G10" s="32" t="n">
        <v>50</v>
      </c>
      <c r="H10" s="32" t="n">
        <v>5</v>
      </c>
      <c r="I10" s="33" t="n">
        <v>0.025</v>
      </c>
      <c r="J10" s="5" t="s">
        <v>198</v>
      </c>
    </row>
    <row r="11" customFormat="false" ht="15" hidden="false" customHeight="false" outlineLevel="0" collapsed="false">
      <c r="A11" s="3" t="s">
        <v>65</v>
      </c>
      <c r="B11" s="5" t="n">
        <v>3</v>
      </c>
      <c r="C11" s="3" t="s">
        <v>200</v>
      </c>
      <c r="D11" s="5" t="n">
        <v>3</v>
      </c>
      <c r="E11" s="5" t="n">
        <v>1000000</v>
      </c>
      <c r="F11" s="5" t="n">
        <v>36000</v>
      </c>
      <c r="G11" s="32" t="n">
        <v>750</v>
      </c>
      <c r="H11" s="32" t="n">
        <v>25</v>
      </c>
      <c r="I11" s="33" t="n">
        <v>0.05</v>
      </c>
      <c r="J11" s="5" t="s">
        <v>198</v>
      </c>
    </row>
    <row r="12" customFormat="false" ht="15" hidden="false" customHeight="false" outlineLevel="0" collapsed="false">
      <c r="A12" s="3" t="s">
        <v>65</v>
      </c>
      <c r="B12" s="5" t="n">
        <v>4</v>
      </c>
      <c r="C12" s="3" t="s">
        <v>201</v>
      </c>
      <c r="D12" s="5" t="n">
        <v>4</v>
      </c>
      <c r="E12" s="5" t="n">
        <v>1000000000</v>
      </c>
      <c r="F12" s="5" t="n">
        <v>500000</v>
      </c>
      <c r="G12" s="32" t="n">
        <v>40000</v>
      </c>
      <c r="H12" s="32" t="n">
        <v>500</v>
      </c>
      <c r="I12" s="33" t="n">
        <v>0.1</v>
      </c>
      <c r="J12" s="5" t="s">
        <v>198</v>
      </c>
    </row>
    <row r="13" customFormat="false" ht="15" hidden="false" customHeight="false" outlineLevel="0" collapsed="false">
      <c r="A13" s="11" t="s">
        <v>71</v>
      </c>
      <c r="B13" s="5" t="n">
        <v>1</v>
      </c>
      <c r="C13" s="3" t="s">
        <v>202</v>
      </c>
      <c r="D13" s="5" t="n">
        <v>1</v>
      </c>
      <c r="E13" s="5" t="n">
        <v>1000</v>
      </c>
      <c r="F13" s="5" t="n">
        <v>60</v>
      </c>
      <c r="G13" s="32" t="n">
        <v>10</v>
      </c>
      <c r="H13" s="32" t="n">
        <v>1</v>
      </c>
      <c r="I13" s="33" t="n">
        <v>0.01</v>
      </c>
      <c r="J13" s="5" t="s">
        <v>203</v>
      </c>
    </row>
    <row r="14" customFormat="false" ht="15" hidden="false" customHeight="false" outlineLevel="0" collapsed="false">
      <c r="A14" s="3" t="s">
        <v>71</v>
      </c>
      <c r="B14" s="5" t="n">
        <v>2</v>
      </c>
      <c r="C14" s="3" t="s">
        <v>204</v>
      </c>
      <c r="D14" s="5" t="n">
        <v>2</v>
      </c>
      <c r="E14" s="5" t="n">
        <v>10000</v>
      </c>
      <c r="F14" s="5" t="n">
        <v>1800</v>
      </c>
      <c r="G14" s="32" t="n">
        <v>50</v>
      </c>
      <c r="H14" s="32" t="n">
        <v>5</v>
      </c>
      <c r="I14" s="33" t="n">
        <v>0.025</v>
      </c>
      <c r="J14" s="5" t="s">
        <v>203</v>
      </c>
    </row>
    <row r="15" customFormat="false" ht="15" hidden="false" customHeight="false" outlineLevel="0" collapsed="false">
      <c r="A15" s="3" t="s">
        <v>71</v>
      </c>
      <c r="B15" s="5" t="n">
        <v>3</v>
      </c>
      <c r="C15" s="3" t="s">
        <v>205</v>
      </c>
      <c r="D15" s="5" t="n">
        <v>3</v>
      </c>
      <c r="E15" s="5" t="n">
        <v>1000000</v>
      </c>
      <c r="F15" s="5" t="n">
        <v>36000</v>
      </c>
      <c r="G15" s="32" t="n">
        <v>750</v>
      </c>
      <c r="H15" s="32" t="n">
        <v>25</v>
      </c>
      <c r="I15" s="33" t="n">
        <v>0.05</v>
      </c>
      <c r="J15" s="5" t="s">
        <v>203</v>
      </c>
    </row>
    <row r="16" customFormat="false" ht="15" hidden="false" customHeight="false" outlineLevel="0" collapsed="false">
      <c r="A16" s="3" t="s">
        <v>71</v>
      </c>
      <c r="B16" s="5" t="n">
        <v>4</v>
      </c>
      <c r="C16" s="3" t="s">
        <v>206</v>
      </c>
      <c r="D16" s="5" t="n">
        <v>4</v>
      </c>
      <c r="E16" s="5" t="n">
        <v>1000000000</v>
      </c>
      <c r="F16" s="5" t="n">
        <v>500000</v>
      </c>
      <c r="G16" s="32" t="n">
        <v>40000</v>
      </c>
      <c r="H16" s="32" t="n">
        <v>500</v>
      </c>
      <c r="I16" s="33" t="n">
        <v>0.1</v>
      </c>
      <c r="J16" s="5" t="s">
        <v>203</v>
      </c>
    </row>
    <row r="17" customFormat="false" ht="15" hidden="false" customHeight="false" outlineLevel="0" collapsed="false">
      <c r="A17" s="11" t="s">
        <v>77</v>
      </c>
      <c r="B17" s="5" t="n">
        <v>1</v>
      </c>
      <c r="C17" s="3" t="s">
        <v>207</v>
      </c>
      <c r="D17" s="5" t="n">
        <v>1</v>
      </c>
      <c r="E17" s="5" t="n">
        <v>1000</v>
      </c>
      <c r="F17" s="5" t="n">
        <v>60</v>
      </c>
      <c r="G17" s="32" t="n">
        <v>10</v>
      </c>
      <c r="H17" s="32" t="n">
        <v>1</v>
      </c>
      <c r="I17" s="33" t="n">
        <v>0.01</v>
      </c>
      <c r="J17" s="5" t="s">
        <v>208</v>
      </c>
    </row>
    <row r="18" customFormat="false" ht="15" hidden="false" customHeight="false" outlineLevel="0" collapsed="false">
      <c r="A18" s="3" t="s">
        <v>77</v>
      </c>
      <c r="B18" s="5" t="n">
        <v>2</v>
      </c>
      <c r="C18" s="3" t="s">
        <v>209</v>
      </c>
      <c r="D18" s="5" t="n">
        <v>2</v>
      </c>
      <c r="E18" s="5" t="n">
        <v>10000</v>
      </c>
      <c r="F18" s="5" t="n">
        <v>1800</v>
      </c>
      <c r="G18" s="32" t="n">
        <v>50</v>
      </c>
      <c r="H18" s="32" t="n">
        <v>5</v>
      </c>
      <c r="I18" s="33" t="n">
        <v>0.025</v>
      </c>
      <c r="J18" s="5" t="s">
        <v>208</v>
      </c>
    </row>
    <row r="19" customFormat="false" ht="15" hidden="false" customHeight="false" outlineLevel="0" collapsed="false">
      <c r="A19" s="3" t="s">
        <v>77</v>
      </c>
      <c r="B19" s="5" t="n">
        <v>3</v>
      </c>
      <c r="C19" s="3" t="s">
        <v>210</v>
      </c>
      <c r="D19" s="5" t="n">
        <v>3</v>
      </c>
      <c r="E19" s="5" t="n">
        <v>1000000</v>
      </c>
      <c r="F19" s="5" t="n">
        <v>36000</v>
      </c>
      <c r="G19" s="32" t="n">
        <v>750</v>
      </c>
      <c r="H19" s="32" t="n">
        <v>25</v>
      </c>
      <c r="I19" s="33" t="n">
        <v>0.05</v>
      </c>
      <c r="J19" s="5" t="s">
        <v>208</v>
      </c>
    </row>
    <row r="20" customFormat="false" ht="15" hidden="false" customHeight="false" outlineLevel="0" collapsed="false">
      <c r="A20" s="3" t="s">
        <v>77</v>
      </c>
      <c r="B20" s="5" t="n">
        <v>4</v>
      </c>
      <c r="C20" s="3" t="s">
        <v>211</v>
      </c>
      <c r="D20" s="5" t="n">
        <v>4</v>
      </c>
      <c r="E20" s="5" t="n">
        <v>1000000000</v>
      </c>
      <c r="F20" s="5" t="n">
        <v>500000</v>
      </c>
      <c r="G20" s="32" t="n">
        <v>40000</v>
      </c>
      <c r="H20" s="32" t="n">
        <v>500</v>
      </c>
      <c r="I20" s="33" t="n">
        <v>0.1</v>
      </c>
      <c r="J20" s="5" t="s">
        <v>208</v>
      </c>
    </row>
    <row r="21" customFormat="false" ht="15" hidden="false" customHeight="false" outlineLevel="0" collapsed="false">
      <c r="A21" s="11" t="s">
        <v>83</v>
      </c>
      <c r="B21" s="5" t="n">
        <v>1</v>
      </c>
      <c r="C21" s="3" t="s">
        <v>212</v>
      </c>
      <c r="D21" s="5" t="n">
        <v>1</v>
      </c>
      <c r="E21" s="5" t="n">
        <v>1000</v>
      </c>
      <c r="F21" s="5" t="n">
        <v>60</v>
      </c>
      <c r="G21" s="32" t="n">
        <v>10</v>
      </c>
      <c r="H21" s="32" t="n">
        <v>1</v>
      </c>
      <c r="I21" s="33" t="n">
        <v>0.01</v>
      </c>
      <c r="J21" s="5" t="s">
        <v>213</v>
      </c>
    </row>
    <row r="22" customFormat="false" ht="15" hidden="false" customHeight="false" outlineLevel="0" collapsed="false">
      <c r="A22" s="3" t="s">
        <v>83</v>
      </c>
      <c r="B22" s="5" t="n">
        <v>2</v>
      </c>
      <c r="C22" s="3" t="s">
        <v>214</v>
      </c>
      <c r="D22" s="5" t="n">
        <v>2</v>
      </c>
      <c r="E22" s="5" t="n">
        <v>10000</v>
      </c>
      <c r="F22" s="5" t="n">
        <v>1800</v>
      </c>
      <c r="G22" s="32" t="n">
        <v>50</v>
      </c>
      <c r="H22" s="32" t="n">
        <v>5</v>
      </c>
      <c r="I22" s="33" t="n">
        <v>0.025</v>
      </c>
      <c r="J22" s="5" t="s">
        <v>213</v>
      </c>
    </row>
    <row r="23" customFormat="false" ht="15" hidden="false" customHeight="false" outlineLevel="0" collapsed="false">
      <c r="A23" s="3" t="s">
        <v>83</v>
      </c>
      <c r="B23" s="5" t="n">
        <v>3</v>
      </c>
      <c r="C23" s="3" t="s">
        <v>215</v>
      </c>
      <c r="D23" s="5" t="n">
        <v>3</v>
      </c>
      <c r="E23" s="5" t="n">
        <v>1000000</v>
      </c>
      <c r="F23" s="5" t="n">
        <v>36000</v>
      </c>
      <c r="G23" s="32" t="n">
        <v>750</v>
      </c>
      <c r="H23" s="32" t="n">
        <v>25</v>
      </c>
      <c r="I23" s="33" t="n">
        <v>0.05</v>
      </c>
      <c r="J23" s="5" t="s">
        <v>213</v>
      </c>
    </row>
    <row r="24" customFormat="false" ht="15" hidden="false" customHeight="false" outlineLevel="0" collapsed="false">
      <c r="A24" s="3" t="s">
        <v>83</v>
      </c>
      <c r="B24" s="5" t="n">
        <v>4</v>
      </c>
      <c r="C24" s="3" t="s">
        <v>216</v>
      </c>
      <c r="D24" s="5" t="n">
        <v>4</v>
      </c>
      <c r="E24" s="5" t="n">
        <v>1000000000</v>
      </c>
      <c r="F24" s="5" t="n">
        <v>500000</v>
      </c>
      <c r="G24" s="32" t="n">
        <v>40000</v>
      </c>
      <c r="H24" s="32" t="n">
        <v>500</v>
      </c>
      <c r="I24" s="33" t="n">
        <v>0.1</v>
      </c>
      <c r="J24" s="5" t="s">
        <v>213</v>
      </c>
    </row>
    <row r="25" customFormat="false" ht="15" hidden="false" customHeight="false" outlineLevel="0" collapsed="false">
      <c r="A25" s="11" t="s">
        <v>89</v>
      </c>
      <c r="B25" s="5" t="n">
        <v>1</v>
      </c>
      <c r="C25" s="3" t="s">
        <v>217</v>
      </c>
      <c r="D25" s="5" t="n">
        <v>1</v>
      </c>
      <c r="E25" s="5" t="n">
        <v>1000</v>
      </c>
      <c r="F25" s="5" t="n">
        <v>60</v>
      </c>
      <c r="G25" s="32" t="n">
        <v>10</v>
      </c>
      <c r="H25" s="32" t="n">
        <v>1</v>
      </c>
      <c r="I25" s="33" t="n">
        <v>0.01</v>
      </c>
      <c r="J25" s="5" t="s">
        <v>218</v>
      </c>
    </row>
    <row r="26" customFormat="false" ht="15" hidden="false" customHeight="false" outlineLevel="0" collapsed="false">
      <c r="A26" s="3" t="s">
        <v>89</v>
      </c>
      <c r="B26" s="5" t="n">
        <v>2</v>
      </c>
      <c r="C26" s="3" t="s">
        <v>219</v>
      </c>
      <c r="D26" s="5" t="n">
        <v>2</v>
      </c>
      <c r="E26" s="5" t="n">
        <v>10000</v>
      </c>
      <c r="F26" s="5" t="n">
        <v>1800</v>
      </c>
      <c r="G26" s="32" t="n">
        <v>50</v>
      </c>
      <c r="H26" s="32" t="n">
        <v>5</v>
      </c>
      <c r="I26" s="33" t="n">
        <v>0.025</v>
      </c>
      <c r="J26" s="5" t="s">
        <v>218</v>
      </c>
    </row>
    <row r="27" customFormat="false" ht="15" hidden="false" customHeight="false" outlineLevel="0" collapsed="false">
      <c r="A27" s="3" t="s">
        <v>89</v>
      </c>
      <c r="B27" s="5" t="n">
        <v>3</v>
      </c>
      <c r="C27" s="3" t="s">
        <v>220</v>
      </c>
      <c r="D27" s="5" t="n">
        <v>3</v>
      </c>
      <c r="E27" s="5" t="n">
        <v>1000000</v>
      </c>
      <c r="F27" s="5" t="n">
        <v>36000</v>
      </c>
      <c r="G27" s="32" t="n">
        <v>750</v>
      </c>
      <c r="H27" s="32" t="n">
        <v>25</v>
      </c>
      <c r="I27" s="33" t="n">
        <v>0.05</v>
      </c>
      <c r="J27" s="5" t="s">
        <v>218</v>
      </c>
    </row>
    <row r="28" customFormat="false" ht="15" hidden="false" customHeight="false" outlineLevel="0" collapsed="false">
      <c r="A28" s="3" t="s">
        <v>89</v>
      </c>
      <c r="B28" s="5" t="n">
        <v>4</v>
      </c>
      <c r="C28" s="3" t="s">
        <v>221</v>
      </c>
      <c r="D28" s="5" t="n">
        <v>4</v>
      </c>
      <c r="E28" s="5" t="n">
        <v>1000000000</v>
      </c>
      <c r="F28" s="5" t="n">
        <v>500000</v>
      </c>
      <c r="G28" s="32" t="n">
        <v>40000</v>
      </c>
      <c r="H28" s="32" t="n">
        <v>500</v>
      </c>
      <c r="I28" s="33" t="n">
        <v>0.1</v>
      </c>
      <c r="J28" s="5" t="s">
        <v>218</v>
      </c>
    </row>
    <row r="29" customFormat="false" ht="15" hidden="false" customHeight="false" outlineLevel="0" collapsed="false">
      <c r="A29" s="11" t="s">
        <v>95</v>
      </c>
      <c r="B29" s="5" t="n">
        <v>1</v>
      </c>
      <c r="C29" s="3" t="s">
        <v>222</v>
      </c>
      <c r="D29" s="5" t="n">
        <v>1</v>
      </c>
      <c r="E29" s="5" t="n">
        <v>1000</v>
      </c>
      <c r="F29" s="5" t="n">
        <v>60</v>
      </c>
      <c r="G29" s="32" t="n">
        <v>10</v>
      </c>
      <c r="H29" s="32" t="n">
        <v>1</v>
      </c>
      <c r="I29" s="33" t="n">
        <v>0.01</v>
      </c>
      <c r="J29" s="5" t="s">
        <v>223</v>
      </c>
    </row>
    <row r="30" customFormat="false" ht="15" hidden="false" customHeight="false" outlineLevel="0" collapsed="false">
      <c r="A30" s="3" t="s">
        <v>95</v>
      </c>
      <c r="B30" s="5" t="n">
        <v>2</v>
      </c>
      <c r="C30" s="3" t="s">
        <v>224</v>
      </c>
      <c r="D30" s="5" t="n">
        <v>2</v>
      </c>
      <c r="E30" s="5" t="n">
        <v>10000</v>
      </c>
      <c r="F30" s="5" t="n">
        <v>1800</v>
      </c>
      <c r="G30" s="32" t="n">
        <v>50</v>
      </c>
      <c r="H30" s="32" t="n">
        <v>5</v>
      </c>
      <c r="I30" s="33" t="n">
        <v>0.025</v>
      </c>
      <c r="J30" s="5" t="s">
        <v>223</v>
      </c>
    </row>
    <row r="31" customFormat="false" ht="15" hidden="false" customHeight="false" outlineLevel="0" collapsed="false">
      <c r="A31" s="3" t="s">
        <v>95</v>
      </c>
      <c r="B31" s="5" t="n">
        <v>3</v>
      </c>
      <c r="C31" s="3" t="s">
        <v>225</v>
      </c>
      <c r="D31" s="5" t="n">
        <v>3</v>
      </c>
      <c r="E31" s="5" t="n">
        <v>1000000</v>
      </c>
      <c r="F31" s="5" t="n">
        <v>36000</v>
      </c>
      <c r="G31" s="32" t="n">
        <v>750</v>
      </c>
      <c r="H31" s="32" t="n">
        <v>25</v>
      </c>
      <c r="I31" s="33" t="n">
        <v>0.05</v>
      </c>
      <c r="J31" s="5" t="s">
        <v>223</v>
      </c>
    </row>
    <row r="32" customFormat="false" ht="15" hidden="false" customHeight="false" outlineLevel="0" collapsed="false">
      <c r="A32" s="3" t="s">
        <v>95</v>
      </c>
      <c r="B32" s="5" t="n">
        <v>4</v>
      </c>
      <c r="C32" s="3" t="s">
        <v>226</v>
      </c>
      <c r="D32" s="5" t="n">
        <v>4</v>
      </c>
      <c r="E32" s="5" t="n">
        <v>1000000000</v>
      </c>
      <c r="F32" s="5" t="n">
        <v>500000</v>
      </c>
      <c r="G32" s="32" t="n">
        <v>40000</v>
      </c>
      <c r="H32" s="32" t="n">
        <v>500</v>
      </c>
      <c r="I32" s="33" t="n">
        <v>0.1</v>
      </c>
      <c r="J32" s="5" t="s">
        <v>223</v>
      </c>
    </row>
    <row r="33" customFormat="false" ht="15" hidden="false" customHeight="false" outlineLevel="0" collapsed="false">
      <c r="A33" s="11" t="s">
        <v>101</v>
      </c>
      <c r="B33" s="5" t="n">
        <v>1</v>
      </c>
      <c r="C33" s="3" t="s">
        <v>227</v>
      </c>
      <c r="D33" s="5" t="n">
        <v>1</v>
      </c>
      <c r="E33" s="5" t="n">
        <v>1000</v>
      </c>
      <c r="F33" s="5" t="n">
        <v>60</v>
      </c>
      <c r="G33" s="32" t="n">
        <v>10</v>
      </c>
      <c r="H33" s="32" t="n">
        <v>1</v>
      </c>
      <c r="I33" s="33" t="n">
        <v>0.01</v>
      </c>
      <c r="J33" s="5" t="s">
        <v>228</v>
      </c>
    </row>
    <row r="34" customFormat="false" ht="15" hidden="false" customHeight="false" outlineLevel="0" collapsed="false">
      <c r="A34" s="3" t="s">
        <v>101</v>
      </c>
      <c r="B34" s="5" t="n">
        <v>2</v>
      </c>
      <c r="C34" s="3" t="s">
        <v>229</v>
      </c>
      <c r="D34" s="5" t="n">
        <v>2</v>
      </c>
      <c r="E34" s="5" t="n">
        <v>10000</v>
      </c>
      <c r="F34" s="5" t="n">
        <v>1800</v>
      </c>
      <c r="G34" s="32" t="n">
        <v>50</v>
      </c>
      <c r="H34" s="32" t="n">
        <v>5</v>
      </c>
      <c r="I34" s="33" t="n">
        <v>0.025</v>
      </c>
      <c r="J34" s="5" t="s">
        <v>228</v>
      </c>
    </row>
    <row r="35" customFormat="false" ht="15" hidden="false" customHeight="false" outlineLevel="0" collapsed="false">
      <c r="A35" s="3" t="s">
        <v>101</v>
      </c>
      <c r="B35" s="5" t="n">
        <v>3</v>
      </c>
      <c r="C35" s="3" t="s">
        <v>230</v>
      </c>
      <c r="D35" s="5" t="n">
        <v>3</v>
      </c>
      <c r="E35" s="5" t="n">
        <v>1000000</v>
      </c>
      <c r="F35" s="5" t="n">
        <v>36000</v>
      </c>
      <c r="G35" s="32" t="n">
        <v>750</v>
      </c>
      <c r="H35" s="32" t="n">
        <v>25</v>
      </c>
      <c r="I35" s="33" t="n">
        <v>0.05</v>
      </c>
      <c r="J35" s="5" t="s">
        <v>228</v>
      </c>
    </row>
    <row r="36" customFormat="false" ht="15" hidden="false" customHeight="false" outlineLevel="0" collapsed="false">
      <c r="A36" s="3" t="s">
        <v>101</v>
      </c>
      <c r="B36" s="5" t="n">
        <v>4</v>
      </c>
      <c r="C36" s="3" t="s">
        <v>231</v>
      </c>
      <c r="D36" s="5" t="n">
        <v>4</v>
      </c>
      <c r="E36" s="5" t="n">
        <v>1000000000</v>
      </c>
      <c r="F36" s="5" t="n">
        <v>500000</v>
      </c>
      <c r="G36" s="32" t="n">
        <v>40000</v>
      </c>
      <c r="H36" s="32" t="n">
        <v>500</v>
      </c>
      <c r="I36" s="33" t="n">
        <v>0.1</v>
      </c>
      <c r="J36" s="5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11" activeCellId="0" sqref="J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232</v>
      </c>
    </row>
    <row r="2" customFormat="false" ht="15" hidden="false" customHeight="false" outlineLevel="0" collapsed="false">
      <c r="A2" s="14" t="s">
        <v>233</v>
      </c>
    </row>
    <row r="4" customFormat="false" ht="26.85" hidden="false" customHeight="false" outlineLevel="0" collapsed="false">
      <c r="A4" s="2" t="s">
        <v>234</v>
      </c>
      <c r="B4" s="2" t="s">
        <v>235</v>
      </c>
      <c r="C4" s="2" t="s">
        <v>236</v>
      </c>
      <c r="D4" s="2" t="s">
        <v>237</v>
      </c>
      <c r="E4" s="2" t="s">
        <v>238</v>
      </c>
      <c r="F4" s="2" t="s">
        <v>239</v>
      </c>
      <c r="G4" s="2" t="s">
        <v>240</v>
      </c>
      <c r="H4" s="2" t="s">
        <v>241</v>
      </c>
      <c r="I4" s="2" t="s">
        <v>242</v>
      </c>
      <c r="J4" s="2" t="s">
        <v>136</v>
      </c>
    </row>
    <row r="5" customFormat="false" ht="15" hidden="false" customHeight="false" outlineLevel="0" collapsed="false">
      <c r="A5" s="11" t="s">
        <v>243</v>
      </c>
      <c r="B5" s="3" t="s">
        <v>244</v>
      </c>
      <c r="C5" s="5" t="n">
        <v>1</v>
      </c>
      <c r="D5" s="6" t="s">
        <v>245</v>
      </c>
      <c r="E5" s="32" t="n">
        <f aca="false">0.5*Globals!$B$16</f>
        <v>50</v>
      </c>
      <c r="F5" s="32" t="n">
        <f aca="false">0.5*Globals!$B$17</f>
        <v>5</v>
      </c>
      <c r="G5" s="32" t="n">
        <f aca="false">0*Globals!$B$18</f>
        <v>0</v>
      </c>
      <c r="H5" s="32" t="n">
        <f aca="false">0*Globals!$B$19</f>
        <v>0</v>
      </c>
      <c r="I5" s="33" t="n">
        <f aca="false">1*Globals!$B$20</f>
        <v>0.01</v>
      </c>
      <c r="J5" s="6" t="s">
        <v>246</v>
      </c>
    </row>
    <row r="6" customFormat="false" ht="15" hidden="false" customHeight="false" outlineLevel="0" collapsed="false">
      <c r="A6" s="11" t="s">
        <v>247</v>
      </c>
      <c r="B6" s="3" t="s">
        <v>248</v>
      </c>
      <c r="C6" s="5" t="n">
        <v>1</v>
      </c>
      <c r="D6" s="6" t="s">
        <v>249</v>
      </c>
      <c r="E6" s="32" t="n">
        <f aca="false">0*Globals!$B$16</f>
        <v>0</v>
      </c>
      <c r="F6" s="32" t="n">
        <f aca="false">1*Globals!$B$17</f>
        <v>10</v>
      </c>
      <c r="G6" s="32" t="n">
        <f aca="false">1*Globals!$B$18</f>
        <v>100</v>
      </c>
      <c r="H6" s="32" t="n">
        <f aca="false">0*Globals!$B$19</f>
        <v>0</v>
      </c>
      <c r="I6" s="33" t="n">
        <f aca="false">1*Globals!$B$20</f>
        <v>0.01</v>
      </c>
      <c r="J6" s="6"/>
    </row>
    <row r="7" customFormat="false" ht="23.85" hidden="false" customHeight="false" outlineLevel="0" collapsed="false">
      <c r="A7" s="11" t="s">
        <v>250</v>
      </c>
      <c r="B7" s="3" t="s">
        <v>251</v>
      </c>
      <c r="C7" s="5" t="n">
        <v>1</v>
      </c>
      <c r="D7" s="6" t="s">
        <v>252</v>
      </c>
      <c r="E7" s="32" t="n">
        <f aca="false">1*Globals!$B$16</f>
        <v>100</v>
      </c>
      <c r="F7" s="32" t="n">
        <f aca="false">1*Globals!$B$17</f>
        <v>10</v>
      </c>
      <c r="G7" s="32" t="n">
        <f aca="false">0*Globals!$B$18</f>
        <v>0</v>
      </c>
      <c r="H7" s="32" t="n">
        <f aca="false">0*Globals!$B$19</f>
        <v>0</v>
      </c>
      <c r="I7" s="33" t="n">
        <f aca="false">0*Globals!$B$20</f>
        <v>0</v>
      </c>
      <c r="J7" s="6" t="s">
        <v>253</v>
      </c>
    </row>
    <row r="8" customFormat="false" ht="23.85" hidden="false" customHeight="false" outlineLevel="0" collapsed="false">
      <c r="A8" s="11" t="s">
        <v>254</v>
      </c>
      <c r="B8" s="3" t="s">
        <v>255</v>
      </c>
      <c r="C8" s="5" t="n">
        <v>1</v>
      </c>
      <c r="D8" s="6" t="s">
        <v>256</v>
      </c>
      <c r="E8" s="32" t="n">
        <f aca="false">0*Globals!$B$16</f>
        <v>0</v>
      </c>
      <c r="F8" s="32" t="n">
        <f aca="false">0*Globals!$B$17</f>
        <v>0</v>
      </c>
      <c r="G8" s="32" t="n">
        <f aca="false">0*Globals!$B$18</f>
        <v>0</v>
      </c>
      <c r="H8" s="32" t="n">
        <f aca="false">0*Globals!$B$19</f>
        <v>0</v>
      </c>
      <c r="I8" s="33" t="n">
        <f aca="false">1*Globals!$B$20</f>
        <v>0.01</v>
      </c>
      <c r="J8" s="6" t="s">
        <v>257</v>
      </c>
    </row>
    <row r="9" customFormat="false" ht="15" hidden="false" customHeight="false" outlineLevel="0" collapsed="false">
      <c r="A9" s="11" t="s">
        <v>258</v>
      </c>
      <c r="B9" s="3" t="s">
        <v>259</v>
      </c>
      <c r="C9" s="5" t="n">
        <v>1</v>
      </c>
      <c r="D9" s="6" t="s">
        <v>260</v>
      </c>
      <c r="E9" s="32" t="n">
        <f aca="false">0*Globals!$B$16</f>
        <v>0</v>
      </c>
      <c r="F9" s="32" t="n">
        <f aca="false">2.5*Globals!$B$17</f>
        <v>25</v>
      </c>
      <c r="G9" s="32" t="n">
        <f aca="false">2*Globals!$B$18</f>
        <v>200</v>
      </c>
      <c r="H9" s="32" t="n">
        <f aca="false">0*Globals!$B$19</f>
        <v>0</v>
      </c>
      <c r="I9" s="33" t="n">
        <f aca="false">1*Globals!$B$20</f>
        <v>0.01</v>
      </c>
      <c r="J9" s="6"/>
    </row>
    <row r="10" customFormat="false" ht="15" hidden="false" customHeight="false" outlineLevel="0" collapsed="false">
      <c r="A10" s="11" t="s">
        <v>261</v>
      </c>
      <c r="B10" s="3" t="s">
        <v>262</v>
      </c>
      <c r="C10" s="5" t="n">
        <v>1</v>
      </c>
      <c r="D10" s="6" t="s">
        <v>263</v>
      </c>
      <c r="E10" s="32" t="n">
        <f aca="false">2.5*Globals!$B$16</f>
        <v>250</v>
      </c>
      <c r="F10" s="32" t="n">
        <f aca="false">0*Globals!$B$17</f>
        <v>0</v>
      </c>
      <c r="G10" s="32" t="n">
        <f aca="false">0*Globals!$B$18</f>
        <v>0</v>
      </c>
      <c r="H10" s="32" t="n">
        <f aca="false">2*Globals!$B$19</f>
        <v>20</v>
      </c>
      <c r="I10" s="33" t="n">
        <f aca="false">1*Globals!$B$20</f>
        <v>0.01</v>
      </c>
      <c r="J10" s="6"/>
    </row>
    <row r="11" customFormat="false" ht="35.05" hidden="false" customHeight="false" outlineLevel="0" collapsed="false">
      <c r="A11" s="11" t="s">
        <v>264</v>
      </c>
      <c r="B11" s="3" t="s">
        <v>265</v>
      </c>
      <c r="C11" s="5" t="n">
        <v>1</v>
      </c>
      <c r="D11" s="6" t="s">
        <v>266</v>
      </c>
      <c r="E11" s="32" t="n">
        <f aca="false">0*Globals!$B$16</f>
        <v>0</v>
      </c>
      <c r="F11" s="32" t="n">
        <f aca="false">2.5*Globals!$B$17</f>
        <v>25</v>
      </c>
      <c r="G11" s="32" t="n">
        <f aca="false">0*Globals!$B$18</f>
        <v>0</v>
      </c>
      <c r="H11" s="32" t="n">
        <f aca="false">0*Globals!$B$19</f>
        <v>0</v>
      </c>
      <c r="I11" s="33" t="n">
        <f aca="false">0.1*Globals!$B$20</f>
        <v>0.001</v>
      </c>
      <c r="J11" s="6" t="s">
        <v>267</v>
      </c>
    </row>
    <row r="12" customFormat="false" ht="23.85" hidden="false" customHeight="false" outlineLevel="0" collapsed="false">
      <c r="A12" s="11" t="s">
        <v>268</v>
      </c>
      <c r="B12" s="3" t="s">
        <v>269</v>
      </c>
      <c r="C12" s="5" t="n">
        <v>1</v>
      </c>
      <c r="D12" s="6" t="s">
        <v>270</v>
      </c>
      <c r="E12" s="32" t="n">
        <f aca="false">1*Globals!$B$16</f>
        <v>100</v>
      </c>
      <c r="F12" s="32" t="n">
        <f aca="false">1*Globals!$B$17</f>
        <v>10</v>
      </c>
      <c r="G12" s="32" t="n">
        <f aca="false">0*Globals!$B$18</f>
        <v>0</v>
      </c>
      <c r="H12" s="32" t="n">
        <f aca="false">0*Globals!$B$19</f>
        <v>0</v>
      </c>
      <c r="I12" s="33" t="n">
        <f aca="false">0.1*Globals!$B$20</f>
        <v>0.001</v>
      </c>
      <c r="J12" s="6" t="s">
        <v>271</v>
      </c>
    </row>
    <row r="13" customFormat="false" ht="35.05" hidden="false" customHeight="false" outlineLevel="0" collapsed="false">
      <c r="A13" s="11" t="s">
        <v>272</v>
      </c>
      <c r="B13" s="3" t="s">
        <v>273</v>
      </c>
      <c r="C13" s="5" t="n">
        <v>1</v>
      </c>
      <c r="D13" s="6" t="s">
        <v>274</v>
      </c>
      <c r="E13" s="32" t="n">
        <f aca="false">0*Globals!$B$16</f>
        <v>0</v>
      </c>
      <c r="F13" s="32" t="n">
        <f aca="false">0*Globals!$B$17</f>
        <v>0</v>
      </c>
      <c r="G13" s="32" t="n">
        <f aca="false">1*Globals!$B$18</f>
        <v>100</v>
      </c>
      <c r="H13" s="32" t="n">
        <f aca="false">1*Globals!$B$19</f>
        <v>10</v>
      </c>
      <c r="I13" s="33" t="n">
        <f aca="false">1*Globals!$B$20</f>
        <v>0.01</v>
      </c>
      <c r="J13" s="6" t="s">
        <v>275</v>
      </c>
    </row>
    <row r="14" customFormat="false" ht="23.85" hidden="false" customHeight="false" outlineLevel="0" collapsed="false">
      <c r="A14" s="11" t="s">
        <v>276</v>
      </c>
      <c r="B14" s="3" t="s">
        <v>277</v>
      </c>
      <c r="C14" s="5" t="n">
        <v>1</v>
      </c>
      <c r="D14" s="6" t="s">
        <v>278</v>
      </c>
      <c r="E14" s="32" t="n">
        <f aca="false">1*Globals!$B$16</f>
        <v>100</v>
      </c>
      <c r="F14" s="32" t="n">
        <f aca="false">1*Globals!$B$17</f>
        <v>10</v>
      </c>
      <c r="G14" s="32" t="n">
        <f aca="false">0*Globals!$B$18</f>
        <v>0</v>
      </c>
      <c r="H14" s="32" t="n">
        <f aca="false">0*Globals!$B$19</f>
        <v>0</v>
      </c>
      <c r="I14" s="33" t="n">
        <f aca="false">0.1*Globals!$B$20</f>
        <v>0.001</v>
      </c>
      <c r="J14" s="6" t="s">
        <v>279</v>
      </c>
    </row>
    <row r="15" customFormat="false" ht="35.05" hidden="false" customHeight="false" outlineLevel="0" collapsed="false">
      <c r="A15" s="11" t="s">
        <v>280</v>
      </c>
      <c r="B15" s="3" t="s">
        <v>281</v>
      </c>
      <c r="C15" s="5" t="n">
        <v>2</v>
      </c>
      <c r="D15" s="6" t="s">
        <v>282</v>
      </c>
      <c r="E15" s="32" t="n">
        <f aca="false">10*Globals!$B$16</f>
        <v>1000</v>
      </c>
      <c r="F15" s="32" t="n">
        <f aca="false">0*Globals!$B$17</f>
        <v>0</v>
      </c>
      <c r="G15" s="32" t="n">
        <f aca="false">0*Globals!$B$18</f>
        <v>0</v>
      </c>
      <c r="H15" s="32" t="n">
        <f aca="false">10*Globals!$B$19</f>
        <v>100</v>
      </c>
      <c r="I15" s="33" t="n">
        <f aca="false">1*Globals!$B$20</f>
        <v>0.01</v>
      </c>
      <c r="J15" s="6" t="s">
        <v>283</v>
      </c>
    </row>
    <row r="16" customFormat="false" ht="35.05" hidden="false" customHeight="false" outlineLevel="0" collapsed="false">
      <c r="A16" s="11" t="s">
        <v>284</v>
      </c>
      <c r="B16" s="3" t="s">
        <v>285</v>
      </c>
      <c r="C16" s="5" t="n">
        <v>2</v>
      </c>
      <c r="D16" s="6" t="s">
        <v>286</v>
      </c>
      <c r="E16" s="32" t="n">
        <f aca="false">0*Globals!$B$16</f>
        <v>0</v>
      </c>
      <c r="F16" s="32" t="n">
        <f aca="false">10*Globals!$B$17</f>
        <v>100</v>
      </c>
      <c r="G16" s="32" t="n">
        <f aca="false">10*Globals!$B$18</f>
        <v>1000</v>
      </c>
      <c r="H16" s="32" t="n">
        <f aca="false">0*Globals!$B$19</f>
        <v>0</v>
      </c>
      <c r="I16" s="33" t="n">
        <f aca="false">1*Globals!$B$20</f>
        <v>0.01</v>
      </c>
      <c r="J16" s="6" t="s">
        <v>287</v>
      </c>
    </row>
    <row r="17" customFormat="false" ht="68.65" hidden="false" customHeight="false" outlineLevel="0" collapsed="false">
      <c r="A17" s="11" t="s">
        <v>288</v>
      </c>
      <c r="B17" s="3" t="s">
        <v>289</v>
      </c>
      <c r="C17" s="5" t="n">
        <v>3</v>
      </c>
      <c r="D17" s="6" t="s">
        <v>290</v>
      </c>
      <c r="E17" s="32" t="s">
        <v>291</v>
      </c>
      <c r="F17" s="32" t="s">
        <v>292</v>
      </c>
      <c r="G17" s="32" t="n">
        <f aca="false">0*Globals!$B$18</f>
        <v>0</v>
      </c>
      <c r="H17" s="32" t="n">
        <f aca="false">0*Globals!$B$19</f>
        <v>0</v>
      </c>
      <c r="I17" s="33" t="s">
        <v>293</v>
      </c>
      <c r="J17" s="6" t="s">
        <v>294</v>
      </c>
    </row>
    <row r="18" customFormat="false" ht="15" hidden="false" customHeight="fals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</row>
    <row r="19" customFormat="false" ht="15" hidden="false" customHeight="false" outlineLevel="0" collapsed="false">
      <c r="A19" s="0"/>
      <c r="B19" s="0"/>
      <c r="C19" s="0"/>
      <c r="D19" s="0"/>
      <c r="E19" s="0"/>
      <c r="F19" s="0"/>
      <c r="G19" s="0"/>
      <c r="H19" s="0"/>
      <c r="I19" s="0"/>
      <c r="J19" s="0"/>
    </row>
    <row r="20" customFormat="false" ht="15" hidden="false" customHeight="false" outlineLevel="0" collapsed="false">
      <c r="A20" s="0"/>
      <c r="B20" s="0"/>
      <c r="C20" s="0"/>
      <c r="D20" s="0"/>
      <c r="E20" s="0"/>
      <c r="F20" s="0"/>
      <c r="G20" s="0"/>
      <c r="H20" s="0"/>
      <c r="I20" s="0"/>
      <c r="J20" s="0"/>
    </row>
    <row r="21" customFormat="false" ht="15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</row>
    <row r="22" customFormat="false" ht="1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</row>
    <row r="23" customFormat="false" ht="15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</row>
    <row r="24" customFormat="false" ht="1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</row>
    <row r="25" customFormat="false" ht="15" hidden="false" customHeight="false" outlineLevel="0" collapsed="false">
      <c r="A25" s="0"/>
      <c r="B25" s="0"/>
      <c r="C25" s="0"/>
      <c r="D25" s="0"/>
      <c r="E25" s="0"/>
      <c r="F25" s="0"/>
      <c r="G25" s="0"/>
      <c r="H25" s="0"/>
      <c r="I25" s="0"/>
      <c r="J25" s="0"/>
    </row>
    <row r="26" customFormat="false" ht="1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</row>
    <row r="27" customFormat="false" ht="15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</row>
    <row r="28" customFormat="false" ht="15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0" width="11.53"/>
  </cols>
  <sheetData>
    <row r="1" customFormat="false" ht="19.7" hidden="false" customHeight="false" outlineLevel="0" collapsed="false">
      <c r="A1" s="13" t="s">
        <v>295</v>
      </c>
    </row>
    <row r="2" customFormat="false" ht="15" hidden="false" customHeight="false" outlineLevel="0" collapsed="false">
      <c r="A2" s="14" t="s">
        <v>296</v>
      </c>
    </row>
    <row r="4" customFormat="false" ht="52.2" hidden="false" customHeight="false" outlineLevel="0" collapsed="false">
      <c r="A4" s="2" t="s">
        <v>297</v>
      </c>
      <c r="B4" s="2" t="s">
        <v>298</v>
      </c>
      <c r="C4" s="2" t="s">
        <v>299</v>
      </c>
      <c r="D4" s="2" t="s">
        <v>300</v>
      </c>
      <c r="E4" s="2" t="s">
        <v>301</v>
      </c>
      <c r="F4" s="2" t="s">
        <v>302</v>
      </c>
      <c r="G4" s="2" t="s">
        <v>303</v>
      </c>
      <c r="H4" s="2" t="s">
        <v>304</v>
      </c>
    </row>
    <row r="5" customFormat="false" ht="23.85" hidden="false" customHeight="false" outlineLevel="0" collapsed="false">
      <c r="A5" s="11" t="s">
        <v>305</v>
      </c>
      <c r="B5" s="5" t="s">
        <v>306</v>
      </c>
      <c r="C5" s="5" t="s">
        <v>307</v>
      </c>
      <c r="D5" s="5" t="s">
        <v>306</v>
      </c>
      <c r="E5" s="5" t="s">
        <v>308</v>
      </c>
      <c r="F5" s="6" t="s">
        <v>309</v>
      </c>
      <c r="G5" s="6" t="s">
        <v>310</v>
      </c>
      <c r="H5" s="30" t="n">
        <f aca="false">1*Globals!$B$9</f>
        <v>0.05</v>
      </c>
    </row>
    <row r="6" customFormat="false" ht="15" hidden="false" customHeight="false" outlineLevel="0" collapsed="false">
      <c r="A6" s="11" t="s">
        <v>311</v>
      </c>
      <c r="B6" s="5" t="s">
        <v>59</v>
      </c>
      <c r="C6" s="5" t="s">
        <v>307</v>
      </c>
      <c r="D6" s="5" t="s">
        <v>312</v>
      </c>
      <c r="E6" s="5" t="s">
        <v>313</v>
      </c>
      <c r="F6" s="6" t="s">
        <v>314</v>
      </c>
      <c r="G6" s="6" t="s">
        <v>315</v>
      </c>
      <c r="H6" s="30" t="n">
        <f aca="false">1*Globals!$B$9</f>
        <v>0.05</v>
      </c>
    </row>
    <row r="7" customFormat="false" ht="46.25" hidden="false" customHeight="false" outlineLevel="0" collapsed="false">
      <c r="A7" s="11" t="s">
        <v>316</v>
      </c>
      <c r="B7" s="5" t="s">
        <v>59</v>
      </c>
      <c r="C7" s="5" t="s">
        <v>317</v>
      </c>
      <c r="D7" s="5" t="s">
        <v>318</v>
      </c>
      <c r="E7" s="5" t="s">
        <v>319</v>
      </c>
      <c r="F7" s="6" t="s">
        <v>309</v>
      </c>
      <c r="G7" s="6" t="s">
        <v>320</v>
      </c>
      <c r="H7" s="30" t="s">
        <v>321</v>
      </c>
    </row>
    <row r="8" customFormat="false" ht="15" hidden="false" customHeight="false" outlineLevel="0" collapsed="false">
      <c r="A8" s="11" t="s">
        <v>322</v>
      </c>
      <c r="B8" s="5" t="s">
        <v>65</v>
      </c>
      <c r="C8" s="5" t="s">
        <v>323</v>
      </c>
      <c r="D8" s="5" t="s">
        <v>324</v>
      </c>
      <c r="E8" s="5" t="s">
        <v>313</v>
      </c>
      <c r="F8" s="6" t="s">
        <v>325</v>
      </c>
      <c r="G8" s="6" t="s">
        <v>326</v>
      </c>
      <c r="H8" s="30" t="n">
        <f aca="false">1*Globals!$B$9</f>
        <v>0.05</v>
      </c>
    </row>
    <row r="9" customFormat="false" ht="35.05" hidden="false" customHeight="false" outlineLevel="0" collapsed="false">
      <c r="A9" s="11" t="s">
        <v>327</v>
      </c>
      <c r="B9" s="5" t="s">
        <v>65</v>
      </c>
      <c r="C9" s="5" t="s">
        <v>328</v>
      </c>
      <c r="D9" s="5" t="s">
        <v>329</v>
      </c>
      <c r="E9" s="5" t="s">
        <v>319</v>
      </c>
      <c r="F9" s="6" t="s">
        <v>309</v>
      </c>
      <c r="G9" s="6" t="s">
        <v>330</v>
      </c>
      <c r="H9" s="33" t="n">
        <f aca="false">19.8*Globals!$B$9</f>
        <v>0.99</v>
      </c>
    </row>
    <row r="10" customFormat="false" ht="23.85" hidden="false" customHeight="false" outlineLevel="0" collapsed="false">
      <c r="A10" s="11" t="s">
        <v>331</v>
      </c>
      <c r="B10" s="5" t="s">
        <v>71</v>
      </c>
      <c r="C10" s="5" t="s">
        <v>323</v>
      </c>
      <c r="D10" s="5" t="s">
        <v>332</v>
      </c>
      <c r="E10" s="5" t="s">
        <v>313</v>
      </c>
      <c r="F10" s="6" t="s">
        <v>325</v>
      </c>
      <c r="G10" s="6" t="s">
        <v>333</v>
      </c>
      <c r="H10" s="30" t="n">
        <f aca="false">1*Globals!$B$9</f>
        <v>0.05</v>
      </c>
    </row>
    <row r="11" customFormat="false" ht="15" hidden="false" customHeight="false" outlineLevel="0" collapsed="false">
      <c r="A11" s="11" t="s">
        <v>334</v>
      </c>
      <c r="B11" s="5" t="s">
        <v>71</v>
      </c>
      <c r="C11" s="5" t="s">
        <v>335</v>
      </c>
      <c r="D11" s="5" t="s">
        <v>336</v>
      </c>
      <c r="E11" s="5" t="s">
        <v>319</v>
      </c>
      <c r="F11" s="6" t="s">
        <v>309</v>
      </c>
      <c r="G11" s="6" t="s">
        <v>337</v>
      </c>
      <c r="H11" s="30" t="n">
        <f aca="false">1*Globals!$B$9</f>
        <v>0.05</v>
      </c>
    </row>
    <row r="12" customFormat="false" ht="15" hidden="false" customHeight="false" outlineLevel="0" collapsed="false">
      <c r="A12" s="11" t="s">
        <v>338</v>
      </c>
      <c r="B12" s="5" t="s">
        <v>83</v>
      </c>
      <c r="C12" s="5" t="s">
        <v>339</v>
      </c>
      <c r="D12" s="5" t="s">
        <v>340</v>
      </c>
      <c r="E12" s="5" t="s">
        <v>313</v>
      </c>
      <c r="F12" s="6" t="s">
        <v>314</v>
      </c>
      <c r="G12" s="6" t="s">
        <v>315</v>
      </c>
      <c r="H12" s="30" t="n">
        <f aca="false">1*Globals!$B$9</f>
        <v>0.05</v>
      </c>
    </row>
    <row r="13" customFormat="false" ht="35.05" hidden="false" customHeight="false" outlineLevel="0" collapsed="false">
      <c r="A13" s="11" t="s">
        <v>341</v>
      </c>
      <c r="B13" s="5" t="s">
        <v>83</v>
      </c>
      <c r="C13" s="5" t="s">
        <v>342</v>
      </c>
      <c r="D13" s="5" t="s">
        <v>343</v>
      </c>
      <c r="E13" s="5" t="s">
        <v>313</v>
      </c>
      <c r="F13" s="6" t="s">
        <v>325</v>
      </c>
      <c r="G13" s="6" t="s">
        <v>344</v>
      </c>
      <c r="H13" s="30" t="n">
        <f aca="false">1*Globals!$B$9</f>
        <v>0.05</v>
      </c>
    </row>
    <row r="14" customFormat="false" ht="35.05" hidden="false" customHeight="false" outlineLevel="0" collapsed="false">
      <c r="A14" s="11" t="s">
        <v>345</v>
      </c>
      <c r="B14" s="5" t="s">
        <v>83</v>
      </c>
      <c r="C14" s="5" t="s">
        <v>346</v>
      </c>
      <c r="D14" s="5" t="s">
        <v>347</v>
      </c>
      <c r="E14" s="5" t="s">
        <v>319</v>
      </c>
      <c r="F14" s="6" t="s">
        <v>309</v>
      </c>
      <c r="G14" s="6" t="s">
        <v>348</v>
      </c>
      <c r="H14" s="30" t="s">
        <v>321</v>
      </c>
    </row>
    <row r="15" customFormat="false" ht="23.85" hidden="false" customHeight="false" outlineLevel="0" collapsed="false">
      <c r="A15" s="11" t="s">
        <v>349</v>
      </c>
      <c r="B15" s="5" t="s">
        <v>77</v>
      </c>
      <c r="C15" s="5" t="s">
        <v>350</v>
      </c>
      <c r="D15" s="5" t="s">
        <v>351</v>
      </c>
      <c r="E15" s="5" t="s">
        <v>313</v>
      </c>
      <c r="F15" s="6" t="s">
        <v>314</v>
      </c>
      <c r="G15" s="6" t="s">
        <v>352</v>
      </c>
      <c r="H15" s="30" t="n">
        <f aca="false">1*Globals!$B$9</f>
        <v>0.05</v>
      </c>
    </row>
    <row r="16" customFormat="false" ht="15" hidden="false" customHeight="false" outlineLevel="0" collapsed="false">
      <c r="A16" s="11" t="s">
        <v>353</v>
      </c>
      <c r="B16" s="5" t="s">
        <v>77</v>
      </c>
      <c r="C16" s="5" t="s">
        <v>354</v>
      </c>
      <c r="D16" s="5" t="s">
        <v>355</v>
      </c>
      <c r="E16" s="5" t="s">
        <v>319</v>
      </c>
      <c r="F16" s="6" t="s">
        <v>309</v>
      </c>
      <c r="G16" s="6" t="s">
        <v>356</v>
      </c>
      <c r="H16" s="30" t="s">
        <v>321</v>
      </c>
    </row>
    <row r="17" customFormat="false" ht="23.85" hidden="false" customHeight="false" outlineLevel="0" collapsed="false">
      <c r="A17" s="11" t="s">
        <v>357</v>
      </c>
      <c r="B17" s="5" t="s">
        <v>89</v>
      </c>
      <c r="C17" s="5" t="s">
        <v>342</v>
      </c>
      <c r="D17" s="5" t="s">
        <v>358</v>
      </c>
      <c r="E17" s="5" t="s">
        <v>313</v>
      </c>
      <c r="F17" s="6" t="s">
        <v>314</v>
      </c>
      <c r="G17" s="6" t="s">
        <v>359</v>
      </c>
      <c r="H17" s="30" t="n">
        <f aca="false">0.5*Globals!$B$9</f>
        <v>0.025</v>
      </c>
    </row>
    <row r="18" customFormat="false" ht="23.85" hidden="false" customHeight="false" outlineLevel="0" collapsed="false">
      <c r="A18" s="11" t="s">
        <v>360</v>
      </c>
      <c r="B18" s="5" t="s">
        <v>89</v>
      </c>
      <c r="C18" s="5" t="s">
        <v>361</v>
      </c>
      <c r="D18" s="5" t="s">
        <v>362</v>
      </c>
      <c r="E18" s="5" t="s">
        <v>319</v>
      </c>
      <c r="F18" s="6" t="s">
        <v>363</v>
      </c>
      <c r="G18" s="6" t="s">
        <v>364</v>
      </c>
      <c r="H18" s="30" t="s">
        <v>321</v>
      </c>
    </row>
    <row r="19" customFormat="false" ht="23.85" hidden="false" customHeight="false" outlineLevel="0" collapsed="false">
      <c r="A19" s="11" t="s">
        <v>365</v>
      </c>
      <c r="B19" s="5" t="s">
        <v>95</v>
      </c>
      <c r="C19" s="5" t="s">
        <v>342</v>
      </c>
      <c r="D19" s="5" t="s">
        <v>366</v>
      </c>
      <c r="E19" s="5" t="s">
        <v>313</v>
      </c>
      <c r="F19" s="6" t="s">
        <v>314</v>
      </c>
      <c r="G19" s="6" t="s">
        <v>367</v>
      </c>
      <c r="H19" s="30" t="n">
        <f aca="false">1*Globals!$B$9</f>
        <v>0.05</v>
      </c>
    </row>
    <row r="20" customFormat="false" ht="15" hidden="false" customHeight="false" outlineLevel="0" collapsed="false">
      <c r="A20" s="11" t="s">
        <v>368</v>
      </c>
      <c r="B20" s="5" t="s">
        <v>95</v>
      </c>
      <c r="C20" s="5" t="s">
        <v>369</v>
      </c>
      <c r="D20" s="5" t="s">
        <v>370</v>
      </c>
      <c r="E20" s="5" t="s">
        <v>319</v>
      </c>
      <c r="F20" s="6" t="s">
        <v>309</v>
      </c>
      <c r="G20" s="6" t="s">
        <v>371</v>
      </c>
      <c r="H20" s="30" t="s">
        <v>321</v>
      </c>
    </row>
    <row r="21" customFormat="false" ht="23.85" hidden="false" customHeight="false" outlineLevel="0" collapsed="false">
      <c r="A21" s="11" t="s">
        <v>372</v>
      </c>
      <c r="B21" s="5" t="s">
        <v>101</v>
      </c>
      <c r="C21" s="5" t="s">
        <v>307</v>
      </c>
      <c r="D21" s="5" t="s">
        <v>373</v>
      </c>
      <c r="E21" s="5" t="s">
        <v>313</v>
      </c>
      <c r="F21" s="6" t="s">
        <v>314</v>
      </c>
      <c r="G21" s="6" t="s">
        <v>374</v>
      </c>
      <c r="H21" s="30" t="n">
        <f aca="false">0.01*Globals!$B$9</f>
        <v>0.0005</v>
      </c>
    </row>
    <row r="22" customFormat="false" ht="15" hidden="false" customHeight="false" outlineLevel="0" collapsed="false">
      <c r="A22" s="11" t="s">
        <v>375</v>
      </c>
      <c r="B22" s="5" t="s">
        <v>101</v>
      </c>
      <c r="C22" s="5" t="s">
        <v>328</v>
      </c>
      <c r="D22" s="5" t="s">
        <v>376</v>
      </c>
      <c r="E22" s="5" t="s">
        <v>319</v>
      </c>
      <c r="F22" s="6" t="s">
        <v>309</v>
      </c>
      <c r="G22" s="6" t="s">
        <v>377</v>
      </c>
      <c r="H22" s="30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52.2" hidden="false" customHeight="false" outlineLevel="0" collapsed="false">
      <c r="A4" s="2" t="s">
        <v>380</v>
      </c>
      <c r="B4" s="2" t="s">
        <v>381</v>
      </c>
      <c r="C4" s="2" t="s">
        <v>136</v>
      </c>
      <c r="D4" s="0"/>
    </row>
    <row r="5" customFormat="false" ht="23.85" hidden="false" customHeight="false" outlineLevel="0" collapsed="false">
      <c r="A5" s="17" t="s">
        <v>115</v>
      </c>
      <c r="B5" s="10" t="n">
        <v>0.001</v>
      </c>
      <c r="C5" s="6" t="s">
        <v>382</v>
      </c>
      <c r="D5" s="0"/>
    </row>
    <row r="6" customFormat="false" ht="15" hidden="false" customHeight="false" outlineLevel="0" collapsed="false">
      <c r="A6" s="20" t="s">
        <v>117</v>
      </c>
      <c r="B6" s="10" t="n">
        <v>0.049</v>
      </c>
      <c r="C6" s="6" t="s">
        <v>383</v>
      </c>
      <c r="D6" s="0"/>
    </row>
    <row r="7" customFormat="false" ht="15" hidden="false" customHeight="false" outlineLevel="0" collapsed="false">
      <c r="A7" s="21" t="s">
        <v>119</v>
      </c>
      <c r="B7" s="10" t="n">
        <v>0.3</v>
      </c>
      <c r="C7" s="6" t="s">
        <v>384</v>
      </c>
      <c r="D7" s="0"/>
    </row>
    <row r="8" customFormat="false" ht="15" hidden="false" customHeight="false" outlineLevel="0" collapsed="false">
      <c r="A8" s="22" t="s">
        <v>121</v>
      </c>
      <c r="B8" s="10" t="n">
        <v>0.4</v>
      </c>
      <c r="C8" s="6" t="s">
        <v>385</v>
      </c>
      <c r="D8" s="0"/>
    </row>
    <row r="9" customFormat="false" ht="15" hidden="false" customHeight="false" outlineLevel="0" collapsed="false">
      <c r="A9" s="23" t="s">
        <v>123</v>
      </c>
      <c r="B9" s="10" t="n">
        <v>0.2</v>
      </c>
      <c r="C9" s="6" t="s">
        <v>386</v>
      </c>
      <c r="D9" s="0"/>
    </row>
    <row r="10" customFormat="false" ht="15" hidden="false" customHeight="false" outlineLevel="0" collapsed="false">
      <c r="A10" s="24" t="s">
        <v>125</v>
      </c>
      <c r="B10" s="10" t="n">
        <v>0.045</v>
      </c>
      <c r="C10" s="6" t="s">
        <v>387</v>
      </c>
      <c r="D10" s="0"/>
    </row>
    <row r="11" customFormat="false" ht="23.85" hidden="false" customHeight="false" outlineLevel="0" collapsed="false">
      <c r="A11" s="25" t="s">
        <v>127</v>
      </c>
      <c r="B11" s="10" t="n">
        <v>0.005</v>
      </c>
      <c r="C11" s="6" t="s">
        <v>388</v>
      </c>
      <c r="D11" s="0"/>
    </row>
    <row r="12" customFormat="false" ht="15" hidden="false" customHeight="false" outlineLevel="0" collapsed="false">
      <c r="A12" s="11" t="s">
        <v>129</v>
      </c>
      <c r="B12" s="29" t="n">
        <f aca="false">SUM(B5:B11)</f>
        <v>1</v>
      </c>
      <c r="C12" s="3"/>
      <c r="D12" s="0"/>
    </row>
    <row r="14" customFormat="false" ht="15" hidden="false" customHeight="false" outlineLevel="0" collapsed="false">
      <c r="A14" s="2" t="s">
        <v>389</v>
      </c>
      <c r="B14" s="2" t="s">
        <v>381</v>
      </c>
      <c r="C14" s="2" t="s">
        <v>136</v>
      </c>
      <c r="D14" s="0"/>
    </row>
    <row r="15" customFormat="false" ht="15" hidden="false" customHeight="false" outlineLevel="0" collapsed="false">
      <c r="A15" s="17" t="s">
        <v>115</v>
      </c>
      <c r="B15" s="10" t="n">
        <v>0.01</v>
      </c>
      <c r="C15" s="6" t="s">
        <v>390</v>
      </c>
      <c r="D15" s="0"/>
    </row>
    <row r="16" customFormat="false" ht="15" hidden="false" customHeight="false" outlineLevel="0" collapsed="false">
      <c r="A16" s="20" t="s">
        <v>117</v>
      </c>
      <c r="B16" s="10" t="n">
        <v>0.04</v>
      </c>
      <c r="C16" s="6" t="s">
        <v>391</v>
      </c>
      <c r="D16" s="0"/>
    </row>
    <row r="17" customFormat="false" ht="15" hidden="false" customHeight="false" outlineLevel="0" collapsed="false">
      <c r="A17" s="22" t="s">
        <v>121</v>
      </c>
      <c r="B17" s="10" t="n">
        <v>0.9</v>
      </c>
      <c r="C17" s="6" t="s">
        <v>392</v>
      </c>
      <c r="D17" s="0"/>
    </row>
    <row r="18" customFormat="false" ht="15" hidden="false" customHeight="false" outlineLevel="0" collapsed="false">
      <c r="A18" s="24" t="s">
        <v>125</v>
      </c>
      <c r="B18" s="10" t="n">
        <v>0.049</v>
      </c>
      <c r="C18" s="6" t="s">
        <v>393</v>
      </c>
      <c r="D18" s="0"/>
    </row>
    <row r="19" customFormat="false" ht="15" hidden="false" customHeight="false" outlineLevel="0" collapsed="false">
      <c r="A19" s="25" t="s">
        <v>127</v>
      </c>
      <c r="B19" s="10" t="n">
        <v>0.001</v>
      </c>
      <c r="C19" s="6" t="s">
        <v>394</v>
      </c>
      <c r="D19" s="0"/>
    </row>
    <row r="20" customFormat="false" ht="15" hidden="false" customHeight="false" outlineLevel="0" collapsed="false">
      <c r="A20" s="11" t="s">
        <v>129</v>
      </c>
      <c r="B20" s="29" t="n">
        <f aca="false">SUM(B15:B19)</f>
        <v>1</v>
      </c>
    </row>
    <row r="22" customFormat="false" ht="15" hidden="false" customHeight="false" outlineLevel="0" collapsed="false">
      <c r="B22" s="0"/>
      <c r="C22" s="0"/>
      <c r="D22" s="0"/>
    </row>
    <row r="23" customFormat="false" ht="15" hidden="false" customHeight="false" outlineLevel="0" collapsed="false">
      <c r="B23" s="0"/>
      <c r="C23" s="0"/>
      <c r="D23" s="0"/>
    </row>
    <row r="24" customFormat="false" ht="15" hidden="false" customHeight="false" outlineLevel="0" collapsed="false">
      <c r="B24" s="0"/>
      <c r="C24" s="0"/>
      <c r="D24" s="0"/>
    </row>
    <row r="25" customFormat="false" ht="15" hidden="false" customHeight="false" outlineLevel="0" collapsed="false">
      <c r="B25" s="0"/>
      <c r="C25" s="0"/>
      <c r="D25" s="0"/>
    </row>
    <row r="26" customFormat="false" ht="15" hidden="false" customHeight="false" outlineLevel="0" collapsed="false">
      <c r="B26" s="0"/>
      <c r="C26" s="0"/>
      <c r="D26" s="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3" activeCellId="0" sqref="A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0" width="11.53"/>
  </cols>
  <sheetData>
    <row r="1" customFormat="false" ht="19.7" hidden="false" customHeight="false" outlineLevel="0" collapsed="false">
      <c r="A1" s="13" t="s">
        <v>395</v>
      </c>
    </row>
    <row r="2" customFormat="false" ht="15" hidden="false" customHeight="false" outlineLevel="0" collapsed="false">
      <c r="A2" s="14" t="s">
        <v>396</v>
      </c>
    </row>
    <row r="4" customFormat="false" ht="15" hidden="false" customHeight="false" outlineLevel="0" collapsed="false">
      <c r="A4" s="2" t="s">
        <v>397</v>
      </c>
      <c r="B4" s="2" t="s">
        <v>183</v>
      </c>
      <c r="C4" s="2" t="s">
        <v>398</v>
      </c>
      <c r="D4" s="2" t="s">
        <v>399</v>
      </c>
    </row>
    <row r="5" customFormat="false" ht="15" hidden="false" customHeight="false" outlineLevel="0" collapsed="false">
      <c r="A5" s="11" t="s">
        <v>400</v>
      </c>
      <c r="B5" s="5" t="s">
        <v>306</v>
      </c>
      <c r="C5" s="6" t="s">
        <v>401</v>
      </c>
      <c r="D5" s="19" t="s">
        <v>306</v>
      </c>
    </row>
    <row r="6" customFormat="false" ht="15" hidden="false" customHeight="false" outlineLevel="0" collapsed="false">
      <c r="A6" s="11" t="s">
        <v>402</v>
      </c>
      <c r="B6" s="5" t="s">
        <v>59</v>
      </c>
      <c r="C6" s="6" t="s">
        <v>403</v>
      </c>
      <c r="D6" s="33" t="n">
        <f aca="false">Globals!$B$5</f>
        <v>0.01</v>
      </c>
    </row>
    <row r="7" customFormat="false" ht="15" hidden="false" customHeight="false" outlineLevel="0" collapsed="false">
      <c r="A7" s="11" t="s">
        <v>404</v>
      </c>
      <c r="B7" s="5" t="s">
        <v>65</v>
      </c>
      <c r="C7" s="6" t="s">
        <v>405</v>
      </c>
      <c r="D7" s="33" t="n">
        <f aca="false">Globals!$B$5</f>
        <v>0.01</v>
      </c>
    </row>
    <row r="8" customFormat="false" ht="15" hidden="false" customHeight="false" outlineLevel="0" collapsed="false">
      <c r="A8" s="11" t="s">
        <v>406</v>
      </c>
      <c r="B8" s="5" t="s">
        <v>71</v>
      </c>
      <c r="C8" s="6" t="s">
        <v>407</v>
      </c>
      <c r="D8" s="33" t="n">
        <f aca="false">Globals!$B$5</f>
        <v>0.01</v>
      </c>
    </row>
    <row r="9" customFormat="false" ht="15" hidden="false" customHeight="false" outlineLevel="0" collapsed="false">
      <c r="A9" s="11" t="s">
        <v>408</v>
      </c>
      <c r="B9" s="5" t="s">
        <v>77</v>
      </c>
      <c r="C9" s="6" t="s">
        <v>409</v>
      </c>
      <c r="D9" s="33" t="n">
        <f aca="false">Globals!$B$5</f>
        <v>0.01</v>
      </c>
    </row>
    <row r="10" customFormat="false" ht="15" hidden="false" customHeight="false" outlineLevel="0" collapsed="false">
      <c r="A10" s="11" t="s">
        <v>410</v>
      </c>
      <c r="B10" s="5" t="s">
        <v>83</v>
      </c>
      <c r="C10" s="6" t="s">
        <v>411</v>
      </c>
      <c r="D10" s="33" t="n">
        <f aca="false">Globals!$B$5</f>
        <v>0.01</v>
      </c>
    </row>
    <row r="11" customFormat="false" ht="15" hidden="false" customHeight="false" outlineLevel="0" collapsed="false">
      <c r="A11" s="11" t="s">
        <v>412</v>
      </c>
      <c r="B11" s="5" t="s">
        <v>89</v>
      </c>
      <c r="C11" s="6" t="s">
        <v>413</v>
      </c>
      <c r="D11" s="33" t="n">
        <f aca="false">Globals!$B$5</f>
        <v>0.01</v>
      </c>
    </row>
    <row r="12" customFormat="false" ht="15" hidden="false" customHeight="false" outlineLevel="0" collapsed="false">
      <c r="A12" s="11" t="s">
        <v>414</v>
      </c>
      <c r="B12" s="5" t="s">
        <v>95</v>
      </c>
      <c r="C12" s="6" t="s">
        <v>415</v>
      </c>
      <c r="D12" s="33" t="n">
        <f aca="false">Globals!$B$5</f>
        <v>0.01</v>
      </c>
    </row>
    <row r="13" customFormat="false" ht="15" hidden="false" customHeight="false" outlineLevel="0" collapsed="false">
      <c r="A13" s="11" t="s">
        <v>416</v>
      </c>
      <c r="B13" s="5" t="s">
        <v>101</v>
      </c>
      <c r="C13" s="6" t="s">
        <v>417</v>
      </c>
      <c r="D13" s="33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21" activeCellId="0" sqref="D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418</v>
      </c>
    </row>
    <row r="2" customFormat="false" ht="23.85" hidden="false" customHeight="false" outlineLevel="0" collapsed="false">
      <c r="A2" s="34" t="s">
        <v>419</v>
      </c>
    </row>
    <row r="4" customFormat="false" ht="15" hidden="false" customHeight="false" outlineLevel="0" collapsed="false">
      <c r="A4" s="2" t="s">
        <v>420</v>
      </c>
      <c r="B4" s="2" t="s">
        <v>421</v>
      </c>
      <c r="C4" s="2" t="s">
        <v>422</v>
      </c>
      <c r="D4" s="2" t="s">
        <v>423</v>
      </c>
      <c r="E4" s="2" t="s">
        <v>424</v>
      </c>
      <c r="F4" s="2" t="s">
        <v>425</v>
      </c>
      <c r="G4" s="2" t="s">
        <v>426</v>
      </c>
      <c r="H4" s="2" t="s">
        <v>427</v>
      </c>
    </row>
    <row r="5" customFormat="false" ht="15" hidden="false" customHeight="false" outlineLevel="0" collapsed="false">
      <c r="A5" s="5" t="n">
        <v>1</v>
      </c>
      <c r="B5" s="11" t="s">
        <v>428</v>
      </c>
      <c r="C5" s="6" t="s">
        <v>429</v>
      </c>
      <c r="D5" s="6" t="s">
        <v>430</v>
      </c>
      <c r="E5" s="9" t="s">
        <v>431</v>
      </c>
      <c r="F5" s="35" t="n">
        <f aca="false">0.001*Globals!$B$23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432</v>
      </c>
      <c r="C6" s="6" t="s">
        <v>433</v>
      </c>
      <c r="D6" s="6" t="s">
        <v>434</v>
      </c>
      <c r="E6" s="9" t="s">
        <v>431</v>
      </c>
      <c r="F6" s="35" t="n">
        <f aca="false">0.001*Globals!$B$23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435</v>
      </c>
      <c r="C7" s="6" t="s">
        <v>436</v>
      </c>
      <c r="D7" s="6" t="s">
        <v>437</v>
      </c>
      <c r="E7" s="9" t="s">
        <v>431</v>
      </c>
      <c r="F7" s="35" t="n">
        <f aca="false">0.001*Globals!$B$23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438</v>
      </c>
      <c r="C8" s="6" t="s">
        <v>439</v>
      </c>
      <c r="D8" s="6" t="s">
        <v>440</v>
      </c>
      <c r="E8" s="9" t="s">
        <v>431</v>
      </c>
      <c r="F8" s="35" t="n">
        <f aca="false">0.001*Globals!$B$23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441</v>
      </c>
      <c r="C9" s="6" t="s">
        <v>442</v>
      </c>
      <c r="D9" s="6" t="s">
        <v>443</v>
      </c>
      <c r="E9" s="9" t="s">
        <v>431</v>
      </c>
      <c r="F9" s="35" t="n">
        <f aca="false">0.001*Globals!$B$23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444</v>
      </c>
      <c r="C10" s="6" t="s">
        <v>445</v>
      </c>
      <c r="D10" s="6" t="s">
        <v>446</v>
      </c>
      <c r="E10" s="9" t="s">
        <v>431</v>
      </c>
      <c r="F10" s="35" t="n">
        <f aca="false">0.001*Globals!$B$23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447</v>
      </c>
      <c r="C11" s="6" t="s">
        <v>448</v>
      </c>
      <c r="D11" s="6" t="s">
        <v>449</v>
      </c>
      <c r="E11" s="9" t="s">
        <v>431</v>
      </c>
      <c r="F11" s="35" t="n">
        <f aca="false">0.001*Globals!$B$23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450</v>
      </c>
      <c r="C12" s="6" t="s">
        <v>451</v>
      </c>
      <c r="D12" s="6" t="s">
        <v>452</v>
      </c>
      <c r="E12" s="9" t="s">
        <v>431</v>
      </c>
      <c r="F12" s="35" t="n">
        <f aca="false">0.001*Globals!$B$23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453</v>
      </c>
      <c r="C13" s="6" t="s">
        <v>454</v>
      </c>
      <c r="D13" s="6" t="s">
        <v>455</v>
      </c>
      <c r="E13" s="9" t="s">
        <v>431</v>
      </c>
      <c r="F13" s="35" t="n">
        <f aca="false">0.001*Globals!$B$23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456</v>
      </c>
      <c r="C14" s="6" t="s">
        <v>457</v>
      </c>
      <c r="D14" s="6" t="s">
        <v>458</v>
      </c>
      <c r="E14" s="9" t="s">
        <v>431</v>
      </c>
      <c r="F14" s="35" t="n">
        <f aca="false">0.001*Globals!$B$23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459</v>
      </c>
      <c r="C15" s="6" t="s">
        <v>460</v>
      </c>
      <c r="D15" s="6" t="s">
        <v>461</v>
      </c>
      <c r="E15" s="9" t="s">
        <v>431</v>
      </c>
      <c r="F15" s="35" t="n">
        <f aca="false">0.001*Globals!$B$23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462</v>
      </c>
      <c r="C16" s="6" t="s">
        <v>463</v>
      </c>
      <c r="D16" s="6" t="s">
        <v>464</v>
      </c>
      <c r="E16" s="9" t="s">
        <v>431</v>
      </c>
      <c r="F16" s="35" t="n">
        <f aca="false">0.001*Globals!$B$23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465</v>
      </c>
      <c r="C17" s="6" t="s">
        <v>466</v>
      </c>
      <c r="D17" s="6" t="s">
        <v>467</v>
      </c>
      <c r="E17" s="9" t="s">
        <v>431</v>
      </c>
      <c r="F17" s="35" t="n">
        <f aca="false">0.001*Globals!$B$23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468</v>
      </c>
      <c r="C18" s="6" t="s">
        <v>469</v>
      </c>
      <c r="D18" s="6" t="s">
        <v>470</v>
      </c>
      <c r="E18" s="9" t="s">
        <v>431</v>
      </c>
      <c r="F18" s="35" t="n">
        <f aca="false">0.001*Globals!$B$23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471</v>
      </c>
      <c r="C19" s="6" t="s">
        <v>472</v>
      </c>
      <c r="D19" s="6" t="s">
        <v>473</v>
      </c>
      <c r="E19" s="9" t="s">
        <v>431</v>
      </c>
      <c r="F19" s="35" t="n">
        <f aca="false">0.001*Globals!$B$23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474</v>
      </c>
      <c r="C20" s="6" t="s">
        <v>475</v>
      </c>
      <c r="D20" s="6" t="s">
        <v>476</v>
      </c>
      <c r="E20" s="9" t="s">
        <v>431</v>
      </c>
      <c r="F20" s="35" t="n">
        <f aca="false">0.001*Globals!$B$23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477</v>
      </c>
      <c r="C21" s="6" t="s">
        <v>478</v>
      </c>
      <c r="D21" s="6" t="s">
        <v>479</v>
      </c>
      <c r="E21" s="9" t="s">
        <v>431</v>
      </c>
      <c r="F21" s="35" t="n">
        <f aca="false">0.001*Globals!$B$23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480</v>
      </c>
      <c r="C22" s="6" t="s">
        <v>481</v>
      </c>
      <c r="D22" s="6" t="s">
        <v>482</v>
      </c>
      <c r="E22" s="9" t="s">
        <v>431</v>
      </c>
      <c r="F22" s="35" t="n">
        <f aca="false">0.001*Globals!$B$23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483</v>
      </c>
      <c r="C23" s="6" t="s">
        <v>484</v>
      </c>
      <c r="D23" s="6" t="s">
        <v>485</v>
      </c>
      <c r="E23" s="9" t="s">
        <v>431</v>
      </c>
      <c r="F23" s="35" t="n">
        <f aca="false">0.001*Globals!$B$23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486</v>
      </c>
      <c r="C24" s="6" t="s">
        <v>487</v>
      </c>
      <c r="D24" s="6" t="s">
        <v>488</v>
      </c>
      <c r="E24" s="9" t="s">
        <v>431</v>
      </c>
      <c r="F24" s="35" t="n">
        <f aca="false">0.001*Globals!$B$23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489</v>
      </c>
      <c r="C25" s="6" t="s">
        <v>490</v>
      </c>
      <c r="D25" s="6" t="s">
        <v>491</v>
      </c>
      <c r="E25" s="9" t="s">
        <v>431</v>
      </c>
      <c r="F25" s="35" t="n">
        <f aca="false">0.001*Globals!$B$23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492</v>
      </c>
      <c r="C26" s="6" t="s">
        <v>493</v>
      </c>
      <c r="D26" s="6" t="s">
        <v>494</v>
      </c>
      <c r="E26" s="9" t="s">
        <v>431</v>
      </c>
      <c r="F26" s="35" t="n">
        <f aca="false">0.001*Globals!$B$23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495</v>
      </c>
      <c r="C27" s="6" t="s">
        <v>496</v>
      </c>
      <c r="D27" s="6" t="s">
        <v>497</v>
      </c>
      <c r="E27" s="9" t="s">
        <v>431</v>
      </c>
      <c r="F27" s="35" t="n">
        <f aca="false">0.001*Globals!$B$23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498</v>
      </c>
      <c r="C28" s="6" t="s">
        <v>499</v>
      </c>
      <c r="D28" s="6" t="s">
        <v>500</v>
      </c>
      <c r="E28" s="9" t="s">
        <v>431</v>
      </c>
      <c r="F28" s="35" t="n">
        <f aca="false">0.001*Globals!$B$23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501</v>
      </c>
      <c r="C29" s="6" t="s">
        <v>502</v>
      </c>
      <c r="D29" s="6" t="s">
        <v>503</v>
      </c>
      <c r="E29" s="9" t="s">
        <v>431</v>
      </c>
      <c r="F29" s="35" t="n">
        <f aca="false">0.001*Globals!$B$23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504</v>
      </c>
      <c r="C30" s="6" t="s">
        <v>505</v>
      </c>
      <c r="D30" s="6" t="s">
        <v>506</v>
      </c>
      <c r="E30" s="9" t="s">
        <v>431</v>
      </c>
      <c r="F30" s="35" t="n">
        <f aca="false">0.001*Globals!$B$23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507</v>
      </c>
      <c r="C31" s="6" t="s">
        <v>508</v>
      </c>
      <c r="D31" s="6" t="s">
        <v>509</v>
      </c>
      <c r="E31" s="9" t="s">
        <v>431</v>
      </c>
      <c r="F31" s="35" t="n">
        <f aca="false">0.001*Globals!$B$23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510</v>
      </c>
      <c r="C32" s="6" t="s">
        <v>511</v>
      </c>
      <c r="D32" s="6" t="s">
        <v>512</v>
      </c>
      <c r="E32" s="9" t="s">
        <v>431</v>
      </c>
      <c r="F32" s="35" t="n">
        <f aca="false">0.001*Globals!$B$23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513</v>
      </c>
      <c r="C33" s="6" t="s">
        <v>514</v>
      </c>
      <c r="D33" s="6" t="s">
        <v>515</v>
      </c>
      <c r="E33" s="9" t="s">
        <v>431</v>
      </c>
      <c r="F33" s="35" t="n">
        <f aca="false">0.001*Globals!$B$23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516</v>
      </c>
      <c r="C34" s="6" t="s">
        <v>517</v>
      </c>
      <c r="D34" s="6" t="s">
        <v>518</v>
      </c>
      <c r="E34" s="9" t="s">
        <v>431</v>
      </c>
      <c r="F34" s="35" t="n">
        <f aca="false">0.001*Globals!$B$23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519</v>
      </c>
      <c r="C35" s="6" t="s">
        <v>520</v>
      </c>
      <c r="D35" s="6" t="s">
        <v>521</v>
      </c>
      <c r="E35" s="9" t="s">
        <v>431</v>
      </c>
      <c r="F35" s="35" t="n">
        <f aca="false">0.001*Globals!$B$23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522</v>
      </c>
      <c r="C36" s="6" t="s">
        <v>523</v>
      </c>
      <c r="D36" s="6" t="s">
        <v>524</v>
      </c>
      <c r="E36" s="9" t="s">
        <v>431</v>
      </c>
      <c r="F36" s="35" t="n">
        <f aca="false">0.001*Globals!$B$23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525</v>
      </c>
      <c r="C37" s="6" t="s">
        <v>526</v>
      </c>
      <c r="D37" s="6" t="s">
        <v>527</v>
      </c>
      <c r="E37" s="9" t="s">
        <v>431</v>
      </c>
      <c r="F37" s="35" t="n">
        <f aca="false">0.001*Globals!$B$23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528</v>
      </c>
      <c r="C38" s="6" t="s">
        <v>529</v>
      </c>
      <c r="D38" s="6" t="s">
        <v>530</v>
      </c>
      <c r="E38" s="9" t="s">
        <v>431</v>
      </c>
      <c r="F38" s="35" t="n">
        <f aca="false">0.001*Globals!$B$23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531</v>
      </c>
      <c r="C39" s="6" t="s">
        <v>532</v>
      </c>
      <c r="D39" s="6" t="s">
        <v>533</v>
      </c>
      <c r="E39" s="9" t="s">
        <v>431</v>
      </c>
      <c r="F39" s="35" t="n">
        <f aca="false">0.001*Globals!$B$23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534</v>
      </c>
      <c r="C40" s="6" t="s">
        <v>535</v>
      </c>
      <c r="D40" s="6" t="s">
        <v>536</v>
      </c>
      <c r="E40" s="9" t="s">
        <v>431</v>
      </c>
      <c r="F40" s="35" t="n">
        <f aca="false">0.001*Globals!$B$23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537</v>
      </c>
      <c r="C41" s="6" t="s">
        <v>538</v>
      </c>
      <c r="D41" s="6" t="s">
        <v>473</v>
      </c>
      <c r="E41" s="9" t="s">
        <v>431</v>
      </c>
      <c r="F41" s="35" t="n">
        <f aca="false">0.001*Globals!$B$23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539</v>
      </c>
      <c r="C42" s="6" t="s">
        <v>540</v>
      </c>
      <c r="D42" s="6" t="s">
        <v>541</v>
      </c>
      <c r="E42" s="9" t="s">
        <v>431</v>
      </c>
      <c r="F42" s="35" t="n">
        <f aca="false">0.001*Globals!$B$23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542</v>
      </c>
      <c r="C43" s="6" t="s">
        <v>543</v>
      </c>
      <c r="D43" s="6" t="s">
        <v>544</v>
      </c>
      <c r="E43" s="9" t="s">
        <v>431</v>
      </c>
      <c r="F43" s="35" t="n">
        <f aca="false">0.001*Globals!$B$23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545</v>
      </c>
      <c r="C44" s="6" t="s">
        <v>546</v>
      </c>
      <c r="D44" s="6" t="s">
        <v>547</v>
      </c>
      <c r="E44" s="9" t="s">
        <v>431</v>
      </c>
      <c r="F44" s="35" t="n">
        <f aca="false">0.001*Globals!$B$23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548</v>
      </c>
      <c r="C45" s="6" t="s">
        <v>549</v>
      </c>
      <c r="D45" s="6" t="s">
        <v>509</v>
      </c>
      <c r="E45" s="9" t="s">
        <v>431</v>
      </c>
      <c r="F45" s="35" t="n">
        <f aca="false">0.001*Globals!$B$23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550</v>
      </c>
      <c r="C46" s="6" t="s">
        <v>551</v>
      </c>
      <c r="D46" s="6" t="s">
        <v>552</v>
      </c>
      <c r="E46" s="9" t="s">
        <v>431</v>
      </c>
      <c r="F46" s="35" t="n">
        <f aca="false">0.001*Globals!$B$23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553</v>
      </c>
      <c r="C47" s="6" t="s">
        <v>554</v>
      </c>
      <c r="D47" s="6" t="s">
        <v>555</v>
      </c>
      <c r="E47" s="9" t="s">
        <v>431</v>
      </c>
      <c r="F47" s="35" t="n">
        <f aca="false">0.001*Globals!$B$23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556</v>
      </c>
      <c r="C48" s="6" t="s">
        <v>557</v>
      </c>
      <c r="D48" s="6" t="s">
        <v>558</v>
      </c>
      <c r="E48" s="9" t="s">
        <v>431</v>
      </c>
      <c r="F48" s="35" t="n">
        <f aca="false">0.001*Globals!$B$23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559</v>
      </c>
      <c r="C49" s="6" t="s">
        <v>560</v>
      </c>
      <c r="D49" s="6" t="s">
        <v>561</v>
      </c>
      <c r="E49" s="9" t="s">
        <v>431</v>
      </c>
      <c r="F49" s="35" t="n">
        <f aca="false">0.001*Globals!$B$23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562</v>
      </c>
      <c r="C50" s="6" t="s">
        <v>563</v>
      </c>
      <c r="D50" s="6" t="s">
        <v>564</v>
      </c>
      <c r="E50" s="9" t="s">
        <v>431</v>
      </c>
      <c r="F50" s="35" t="n">
        <f aca="false">0.001*Globals!$B$23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565</v>
      </c>
      <c r="C51" s="6" t="s">
        <v>566</v>
      </c>
      <c r="D51" s="6" t="s">
        <v>567</v>
      </c>
      <c r="E51" s="9" t="s">
        <v>431</v>
      </c>
      <c r="F51" s="35" t="n">
        <f aca="false">0.001*Globals!$B$23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568</v>
      </c>
      <c r="C52" s="6" t="s">
        <v>569</v>
      </c>
      <c r="D52" s="6" t="s">
        <v>570</v>
      </c>
      <c r="E52" s="9" t="s">
        <v>571</v>
      </c>
      <c r="F52" s="35" t="n">
        <f aca="false">10*Globals!$B$23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572</v>
      </c>
      <c r="C53" s="6" t="s">
        <v>573</v>
      </c>
      <c r="D53" s="6" t="s">
        <v>574</v>
      </c>
      <c r="E53" s="9" t="s">
        <v>431</v>
      </c>
      <c r="F53" s="35" t="n">
        <f aca="false">0.001*Globals!$B$23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575</v>
      </c>
      <c r="C54" s="6" t="s">
        <v>576</v>
      </c>
      <c r="D54" s="6" t="s">
        <v>577</v>
      </c>
      <c r="E54" s="9" t="s">
        <v>431</v>
      </c>
      <c r="F54" s="35" t="n">
        <f aca="false">0.001*Globals!$B$23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578</v>
      </c>
      <c r="C55" s="6" t="s">
        <v>579</v>
      </c>
      <c r="D55" s="6" t="s">
        <v>580</v>
      </c>
      <c r="E55" s="9" t="s">
        <v>431</v>
      </c>
      <c r="F55" s="35" t="n">
        <f aca="false">0.001*Globals!$B$23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581</v>
      </c>
      <c r="C56" s="6" t="s">
        <v>582</v>
      </c>
      <c r="D56" s="6" t="s">
        <v>583</v>
      </c>
      <c r="E56" s="9" t="s">
        <v>431</v>
      </c>
      <c r="F56" s="35" t="n">
        <f aca="false">0.001*Globals!$B$23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584</v>
      </c>
      <c r="C57" s="6" t="s">
        <v>585</v>
      </c>
      <c r="D57" s="6" t="s">
        <v>586</v>
      </c>
      <c r="E57" s="9" t="s">
        <v>431</v>
      </c>
      <c r="F57" s="35" t="n">
        <f aca="false">0.001*Globals!$B$23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587</v>
      </c>
      <c r="C58" s="6" t="s">
        <v>588</v>
      </c>
      <c r="D58" s="6" t="s">
        <v>589</v>
      </c>
      <c r="E58" s="9" t="s">
        <v>431</v>
      </c>
      <c r="F58" s="35" t="n">
        <f aca="false">0.001*Globals!$B$23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590</v>
      </c>
      <c r="C59" s="6" t="s">
        <v>591</v>
      </c>
      <c r="D59" s="6" t="s">
        <v>592</v>
      </c>
      <c r="E59" s="9" t="s">
        <v>431</v>
      </c>
      <c r="F59" s="35" t="n">
        <f aca="false">0.001*Globals!$B$23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593</v>
      </c>
      <c r="C60" s="6" t="s">
        <v>594</v>
      </c>
      <c r="D60" s="6" t="s">
        <v>595</v>
      </c>
      <c r="E60" s="9" t="s">
        <v>431</v>
      </c>
      <c r="F60" s="35" t="n">
        <f aca="false">0.001*Globals!$B$23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596</v>
      </c>
      <c r="C61" s="6" t="s">
        <v>597</v>
      </c>
      <c r="D61" s="6" t="s">
        <v>598</v>
      </c>
      <c r="E61" s="9" t="s">
        <v>431</v>
      </c>
      <c r="F61" s="35" t="n">
        <f aca="false">0.001*Globals!$B$23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599</v>
      </c>
      <c r="C62" s="6" t="s">
        <v>600</v>
      </c>
      <c r="D62" s="6" t="s">
        <v>601</v>
      </c>
      <c r="E62" s="9" t="s">
        <v>431</v>
      </c>
      <c r="F62" s="35" t="n">
        <f aca="false">0.001*Globals!$B$23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602</v>
      </c>
      <c r="C63" s="6" t="s">
        <v>603</v>
      </c>
      <c r="D63" s="6" t="s">
        <v>604</v>
      </c>
      <c r="E63" s="9" t="s">
        <v>431</v>
      </c>
      <c r="F63" s="35" t="n">
        <f aca="false">0.001*Globals!$B$23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605</v>
      </c>
      <c r="C64" s="6" t="s">
        <v>606</v>
      </c>
      <c r="D64" s="6" t="s">
        <v>607</v>
      </c>
      <c r="E64" s="9" t="s">
        <v>431</v>
      </c>
      <c r="F64" s="35" t="n">
        <f aca="false">0.001*Globals!$B$23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608</v>
      </c>
      <c r="C65" s="6" t="s">
        <v>609</v>
      </c>
      <c r="D65" s="6" t="s">
        <v>610</v>
      </c>
      <c r="E65" s="9" t="s">
        <v>431</v>
      </c>
      <c r="F65" s="35" t="n">
        <f aca="false">0.001*Globals!$B$23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611</v>
      </c>
      <c r="C66" s="6" t="s">
        <v>612</v>
      </c>
      <c r="D66" s="6" t="s">
        <v>613</v>
      </c>
      <c r="E66" s="9" t="s">
        <v>431</v>
      </c>
      <c r="F66" s="35" t="n">
        <f aca="false">0.001*Globals!$B$23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614</v>
      </c>
      <c r="C67" s="6" t="s">
        <v>615</v>
      </c>
      <c r="D67" s="6" t="s">
        <v>616</v>
      </c>
      <c r="E67" s="9" t="s">
        <v>431</v>
      </c>
      <c r="F67" s="35" t="n">
        <f aca="false">0.001*Globals!$B$23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617</v>
      </c>
      <c r="C68" s="6" t="s">
        <v>618</v>
      </c>
      <c r="D68" s="6" t="s">
        <v>619</v>
      </c>
      <c r="E68" s="9" t="s">
        <v>431</v>
      </c>
      <c r="F68" s="35" t="n">
        <f aca="false">0.001*Globals!$B$23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620</v>
      </c>
      <c r="C69" s="6" t="s">
        <v>621</v>
      </c>
      <c r="D69" s="6" t="s">
        <v>622</v>
      </c>
      <c r="E69" s="9" t="s">
        <v>431</v>
      </c>
      <c r="F69" s="35" t="n">
        <f aca="false">0.001*Globals!$B$23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623</v>
      </c>
      <c r="C70" s="6" t="s">
        <v>624</v>
      </c>
      <c r="D70" s="6" t="s">
        <v>541</v>
      </c>
      <c r="E70" s="9" t="s">
        <v>431</v>
      </c>
      <c r="F70" s="35" t="n">
        <f aca="false">0.001*Globals!$B$23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625</v>
      </c>
      <c r="C71" s="6" t="s">
        <v>626</v>
      </c>
      <c r="D71" s="6" t="s">
        <v>627</v>
      </c>
      <c r="E71" s="9" t="s">
        <v>431</v>
      </c>
      <c r="F71" s="35" t="n">
        <f aca="false">0.001*Globals!$B$23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628</v>
      </c>
      <c r="C72" s="6" t="s">
        <v>629</v>
      </c>
      <c r="D72" s="6" t="s">
        <v>630</v>
      </c>
      <c r="E72" s="9" t="s">
        <v>431</v>
      </c>
      <c r="F72" s="35" t="n">
        <f aca="false">0.001*Globals!$B$23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631</v>
      </c>
      <c r="C73" s="6" t="s">
        <v>632</v>
      </c>
      <c r="D73" s="6" t="s">
        <v>633</v>
      </c>
      <c r="E73" s="9" t="s">
        <v>571</v>
      </c>
      <c r="F73" s="35" t="n">
        <f aca="false">1*Globals!$B$23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634</v>
      </c>
      <c r="C74" s="6" t="s">
        <v>635</v>
      </c>
      <c r="D74" s="6" t="s">
        <v>636</v>
      </c>
      <c r="E74" s="9" t="s">
        <v>431</v>
      </c>
      <c r="F74" s="35" t="n">
        <f aca="false">0.001*Globals!$B$23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637</v>
      </c>
      <c r="C75" s="6" t="s">
        <v>638</v>
      </c>
      <c r="D75" s="6" t="s">
        <v>639</v>
      </c>
      <c r="E75" s="9" t="s">
        <v>431</v>
      </c>
      <c r="F75" s="35" t="n">
        <f aca="false">0.001*Globals!$B$23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640</v>
      </c>
      <c r="C76" s="6" t="s">
        <v>641</v>
      </c>
      <c r="D76" s="6" t="s">
        <v>642</v>
      </c>
      <c r="E76" s="9" t="s">
        <v>431</v>
      </c>
      <c r="F76" s="35" t="n">
        <f aca="false">0.001*Globals!$B$23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0" width="11.53"/>
  </cols>
  <sheetData>
    <row r="1" customFormat="false" ht="19.7" hidden="false" customHeight="false" outlineLevel="0" collapsed="false">
      <c r="A1" s="13" t="s">
        <v>643</v>
      </c>
    </row>
    <row r="2" customFormat="false" ht="15" hidden="false" customHeight="false" outlineLevel="0" collapsed="false">
      <c r="A2" s="14" t="s">
        <v>644</v>
      </c>
    </row>
    <row r="4" customFormat="false" ht="26.85" hidden="false" customHeight="false" outlineLevel="0" collapsed="false">
      <c r="A4" s="2" t="s">
        <v>645</v>
      </c>
      <c r="B4" s="2" t="s">
        <v>301</v>
      </c>
      <c r="C4" s="2" t="s">
        <v>646</v>
      </c>
      <c r="D4" s="2" t="s">
        <v>647</v>
      </c>
      <c r="E4" s="2" t="s">
        <v>648</v>
      </c>
      <c r="F4" s="2" t="s">
        <v>136</v>
      </c>
      <c r="G4" s="2" t="s">
        <v>649</v>
      </c>
    </row>
    <row r="5" customFormat="false" ht="23.85" hidden="false" customHeight="false" outlineLevel="0" collapsed="false">
      <c r="A5" s="11" t="s">
        <v>650</v>
      </c>
      <c r="B5" s="6" t="s">
        <v>651</v>
      </c>
      <c r="C5" s="5" t="s">
        <v>652</v>
      </c>
      <c r="D5" s="5" t="n">
        <v>2</v>
      </c>
      <c r="E5" s="9" t="n">
        <v>1</v>
      </c>
      <c r="F5" s="6" t="s">
        <v>653</v>
      </c>
      <c r="G5" s="18" t="n">
        <v>0.33</v>
      </c>
    </row>
    <row r="6" customFormat="false" ht="23.85" hidden="false" customHeight="false" outlineLevel="0" collapsed="false">
      <c r="A6" s="11" t="s">
        <v>654</v>
      </c>
      <c r="B6" s="6" t="s">
        <v>651</v>
      </c>
      <c r="C6" s="5" t="s">
        <v>652</v>
      </c>
      <c r="D6" s="5" t="n">
        <v>2</v>
      </c>
      <c r="E6" s="9" t="n">
        <v>1</v>
      </c>
      <c r="F6" s="6" t="s">
        <v>655</v>
      </c>
      <c r="G6" s="18" t="n">
        <v>0.33</v>
      </c>
    </row>
    <row r="7" customFormat="false" ht="23.85" hidden="false" customHeight="false" outlineLevel="0" collapsed="false">
      <c r="A7" s="11" t="s">
        <v>656</v>
      </c>
      <c r="B7" s="6" t="s">
        <v>651</v>
      </c>
      <c r="C7" s="5" t="s">
        <v>657</v>
      </c>
      <c r="D7" s="5" t="n">
        <v>6</v>
      </c>
      <c r="E7" s="9" t="n">
        <v>1</v>
      </c>
      <c r="F7" s="6" t="s">
        <v>658</v>
      </c>
      <c r="G7" s="18" t="n">
        <v>0.66</v>
      </c>
    </row>
    <row r="8" customFormat="false" ht="15" hidden="false" customHeight="false" outlineLevel="0" collapsed="false">
      <c r="A8" s="11" t="s">
        <v>659</v>
      </c>
      <c r="B8" s="6" t="s">
        <v>660</v>
      </c>
      <c r="C8" s="5" t="s">
        <v>661</v>
      </c>
      <c r="D8" s="5" t="n">
        <v>1</v>
      </c>
      <c r="E8" s="9" t="n">
        <v>1</v>
      </c>
      <c r="F8" s="6" t="s">
        <v>662</v>
      </c>
      <c r="G8" s="32"/>
    </row>
    <row r="9" customFormat="false" ht="15" hidden="false" customHeight="false" outlineLevel="0" collapsed="false">
      <c r="A9" s="11" t="s">
        <v>663</v>
      </c>
      <c r="B9" s="6" t="s">
        <v>660</v>
      </c>
      <c r="C9" s="5" t="s">
        <v>652</v>
      </c>
      <c r="D9" s="5" t="n">
        <v>4</v>
      </c>
      <c r="E9" s="9" t="n">
        <v>1</v>
      </c>
      <c r="F9" s="6" t="s">
        <v>664</v>
      </c>
      <c r="G9" s="32"/>
    </row>
    <row r="10" customFormat="false" ht="15" hidden="false" customHeight="false" outlineLevel="0" collapsed="false">
      <c r="A10" s="11" t="s">
        <v>665</v>
      </c>
      <c r="B10" s="6" t="s">
        <v>660</v>
      </c>
      <c r="C10" s="5" t="s">
        <v>661</v>
      </c>
      <c r="D10" s="5" t="n">
        <v>2</v>
      </c>
      <c r="E10" s="9" t="n">
        <v>1</v>
      </c>
      <c r="F10" s="6" t="s">
        <v>666</v>
      </c>
      <c r="G10" s="32"/>
    </row>
    <row r="11" customFormat="false" ht="23.85" hidden="false" customHeight="false" outlineLevel="0" collapsed="false">
      <c r="A11" s="11" t="s">
        <v>667</v>
      </c>
      <c r="B11" s="6" t="s">
        <v>668</v>
      </c>
      <c r="C11" s="5" t="s">
        <v>657</v>
      </c>
      <c r="D11" s="5" t="n">
        <v>8</v>
      </c>
      <c r="E11" s="9" t="n">
        <v>1</v>
      </c>
      <c r="F11" s="6" t="s">
        <v>669</v>
      </c>
      <c r="G11" s="32"/>
    </row>
    <row r="12" customFormat="false" ht="15" hidden="false" customHeight="false" outlineLevel="0" collapsed="false">
      <c r="A12" s="11" t="s">
        <v>670</v>
      </c>
      <c r="B12" s="6" t="s">
        <v>660</v>
      </c>
      <c r="C12" s="5" t="s">
        <v>652</v>
      </c>
      <c r="D12" s="5" t="n">
        <v>4</v>
      </c>
      <c r="E12" s="9" t="n">
        <v>1</v>
      </c>
      <c r="F12" s="6" t="s">
        <v>664</v>
      </c>
      <c r="G12" s="32"/>
    </row>
    <row r="13" customFormat="false" ht="15" hidden="false" customHeight="false" outlineLevel="0" collapsed="false">
      <c r="A13" s="11" t="s">
        <v>671</v>
      </c>
      <c r="B13" s="6" t="s">
        <v>672</v>
      </c>
      <c r="C13" s="5" t="s">
        <v>661</v>
      </c>
      <c r="D13" s="5" t="n">
        <v>0</v>
      </c>
      <c r="E13" s="9" t="n">
        <v>5</v>
      </c>
      <c r="F13" s="6" t="s">
        <v>673</v>
      </c>
      <c r="G13" s="36" t="n">
        <v>0.05</v>
      </c>
    </row>
    <row r="14" customFormat="false" ht="15" hidden="false" customHeight="false" outlineLevel="0" collapsed="false">
      <c r="A14" s="11" t="s">
        <v>674</v>
      </c>
      <c r="B14" s="6" t="s">
        <v>675</v>
      </c>
      <c r="C14" s="5" t="s">
        <v>657</v>
      </c>
      <c r="D14" s="5" t="n">
        <v>0</v>
      </c>
      <c r="E14" s="9" t="s">
        <v>676</v>
      </c>
      <c r="F14" s="6" t="s">
        <v>677</v>
      </c>
      <c r="G14" s="32"/>
    </row>
    <row r="15" customFormat="false" ht="15" hidden="false" customHeight="false" outlineLevel="0" collapsed="false">
      <c r="A15" s="11" t="s">
        <v>678</v>
      </c>
      <c r="B15" s="6" t="s">
        <v>675</v>
      </c>
      <c r="C15" s="5" t="s">
        <v>652</v>
      </c>
      <c r="D15" s="5" t="n">
        <v>0</v>
      </c>
      <c r="E15" s="9" t="s">
        <v>676</v>
      </c>
      <c r="F15" s="6" t="s">
        <v>679</v>
      </c>
      <c r="G15" s="36" t="n">
        <v>1</v>
      </c>
    </row>
    <row r="16" customFormat="false" ht="23.85" hidden="false" customHeight="false" outlineLevel="0" collapsed="false">
      <c r="A16" s="11" t="s">
        <v>680</v>
      </c>
      <c r="B16" s="6" t="s">
        <v>668</v>
      </c>
      <c r="C16" s="5" t="s">
        <v>661</v>
      </c>
      <c r="D16" s="5" t="n">
        <v>1</v>
      </c>
      <c r="E16" s="9" t="n">
        <v>1</v>
      </c>
      <c r="F16" s="6" t="s">
        <v>681</v>
      </c>
      <c r="G16" s="32"/>
    </row>
    <row r="17" customFormat="false" ht="15" hidden="false" customHeight="false" outlineLevel="0" collapsed="false">
      <c r="A17" s="11" t="s">
        <v>682</v>
      </c>
      <c r="B17" s="6" t="s">
        <v>660</v>
      </c>
      <c r="C17" s="5" t="s">
        <v>652</v>
      </c>
      <c r="D17" s="5" t="n">
        <v>3</v>
      </c>
      <c r="E17" s="9" t="n">
        <v>1</v>
      </c>
      <c r="F17" s="6" t="s">
        <v>683</v>
      </c>
      <c r="G17" s="32"/>
    </row>
    <row r="18" customFormat="false" ht="23.85" hidden="false" customHeight="false" outlineLevel="0" collapsed="false">
      <c r="A18" s="11" t="s">
        <v>684</v>
      </c>
      <c r="B18" s="6" t="s">
        <v>668</v>
      </c>
      <c r="C18" s="5" t="s">
        <v>661</v>
      </c>
      <c r="D18" s="5" t="n">
        <v>1</v>
      </c>
      <c r="E18" s="9" t="n">
        <v>1</v>
      </c>
      <c r="F18" s="6" t="s">
        <v>685</v>
      </c>
      <c r="G18" s="32"/>
    </row>
    <row r="19" customFormat="false" ht="15" hidden="false" customHeight="false" outlineLevel="0" collapsed="false">
      <c r="A19" s="11" t="s">
        <v>686</v>
      </c>
      <c r="B19" s="6" t="s">
        <v>687</v>
      </c>
      <c r="C19" s="5" t="s">
        <v>661</v>
      </c>
      <c r="D19" s="5" t="n">
        <v>1</v>
      </c>
      <c r="E19" s="9" t="s">
        <v>676</v>
      </c>
      <c r="F19" s="6" t="s">
        <v>662</v>
      </c>
      <c r="G19" s="32"/>
    </row>
    <row r="20" customFormat="false" ht="15" hidden="false" customHeight="false" outlineLevel="0" collapsed="false">
      <c r="A20" s="11" t="s">
        <v>688</v>
      </c>
      <c r="B20" s="6" t="s">
        <v>689</v>
      </c>
      <c r="C20" s="5" t="s">
        <v>690</v>
      </c>
      <c r="D20" s="5" t="n">
        <v>0</v>
      </c>
      <c r="E20" s="9" t="n">
        <v>1</v>
      </c>
      <c r="F20" s="6" t="s">
        <v>691</v>
      </c>
      <c r="G20" s="36" t="n">
        <v>3</v>
      </c>
    </row>
    <row r="21" customFormat="false" ht="15" hidden="false" customHeight="false" outlineLevel="0" collapsed="false">
      <c r="A21" s="11" t="s">
        <v>692</v>
      </c>
      <c r="B21" s="6" t="s">
        <v>689</v>
      </c>
      <c r="C21" s="5" t="s">
        <v>690</v>
      </c>
      <c r="D21" s="5" t="n">
        <v>0</v>
      </c>
      <c r="E21" s="9" t="n">
        <v>1</v>
      </c>
      <c r="F21" s="6" t="s">
        <v>693</v>
      </c>
      <c r="G21" s="36" t="n">
        <v>3</v>
      </c>
    </row>
    <row r="22" customFormat="false" ht="15" hidden="false" customHeight="false" outlineLevel="0" collapsed="false">
      <c r="A22" s="11" t="s">
        <v>694</v>
      </c>
      <c r="B22" s="6" t="s">
        <v>689</v>
      </c>
      <c r="C22" s="5" t="s">
        <v>690</v>
      </c>
      <c r="D22" s="5" t="n">
        <v>0</v>
      </c>
      <c r="E22" s="9" t="n">
        <v>1</v>
      </c>
      <c r="F22" s="6" t="s">
        <v>695</v>
      </c>
      <c r="G22" s="36" t="n">
        <v>0</v>
      </c>
    </row>
    <row r="23" customFormat="false" ht="15" hidden="false" customHeight="false" outlineLevel="0" collapsed="false">
      <c r="A23" s="11" t="s">
        <v>696</v>
      </c>
      <c r="B23" s="6" t="s">
        <v>689</v>
      </c>
      <c r="C23" s="5" t="s">
        <v>690</v>
      </c>
      <c r="D23" s="5" t="n">
        <v>0</v>
      </c>
      <c r="E23" s="9" t="n">
        <v>1</v>
      </c>
      <c r="F23" s="6" t="s">
        <v>697</v>
      </c>
      <c r="G23" s="36" t="n">
        <v>3</v>
      </c>
    </row>
    <row r="24" customFormat="false" ht="15" hidden="false" customHeight="false" outlineLevel="0" collapsed="false">
      <c r="A24" s="11" t="s">
        <v>698</v>
      </c>
      <c r="B24" s="6" t="s">
        <v>689</v>
      </c>
      <c r="C24" s="5" t="s">
        <v>690</v>
      </c>
      <c r="D24" s="5" t="n">
        <v>0</v>
      </c>
      <c r="E24" s="9" t="n">
        <v>1</v>
      </c>
      <c r="F24" s="6" t="s">
        <v>699</v>
      </c>
      <c r="G24" s="36" t="n">
        <v>0.5</v>
      </c>
    </row>
    <row r="25" customFormat="false" ht="15" hidden="false" customHeight="false" outlineLevel="0" collapsed="false">
      <c r="A25" s="11" t="s">
        <v>700</v>
      </c>
      <c r="B25" s="6" t="s">
        <v>687</v>
      </c>
      <c r="C25" s="5" t="s">
        <v>661</v>
      </c>
      <c r="D25" s="5" t="n">
        <v>1</v>
      </c>
      <c r="E25" s="9" t="s">
        <v>676</v>
      </c>
      <c r="F25" s="6" t="s">
        <v>701</v>
      </c>
      <c r="G25" s="36" t="n">
        <v>0.01</v>
      </c>
    </row>
    <row r="26" customFormat="false" ht="15" hidden="false" customHeight="false" outlineLevel="0" collapsed="false">
      <c r="A26" s="11" t="s">
        <v>702</v>
      </c>
      <c r="B26" s="6" t="s">
        <v>660</v>
      </c>
      <c r="C26" s="5" t="s">
        <v>661</v>
      </c>
      <c r="D26" s="5" t="n">
        <v>2</v>
      </c>
      <c r="E26" s="9" t="n">
        <v>1</v>
      </c>
      <c r="F26" s="6" t="s">
        <v>666</v>
      </c>
      <c r="G26" s="32"/>
    </row>
    <row r="27" customFormat="false" ht="23.85" hidden="false" customHeight="false" outlineLevel="0" collapsed="false">
      <c r="A27" s="11" t="s">
        <v>703</v>
      </c>
      <c r="B27" s="6" t="s">
        <v>668</v>
      </c>
      <c r="C27" s="5" t="s">
        <v>661</v>
      </c>
      <c r="D27" s="5" t="n">
        <v>1</v>
      </c>
      <c r="E27" s="9" t="n">
        <v>1</v>
      </c>
      <c r="F27" s="6" t="s">
        <v>704</v>
      </c>
      <c r="G27" s="32"/>
    </row>
    <row r="28" customFormat="false" ht="15" hidden="false" customHeight="false" outlineLevel="0" collapsed="false">
      <c r="A28" s="11" t="s">
        <v>705</v>
      </c>
      <c r="B28" s="6" t="s">
        <v>660</v>
      </c>
      <c r="C28" s="5" t="s">
        <v>661</v>
      </c>
      <c r="D28" s="5" t="n">
        <v>2</v>
      </c>
      <c r="E28" s="9" t="n">
        <v>1</v>
      </c>
      <c r="F28" s="6" t="s">
        <v>666</v>
      </c>
      <c r="G28" s="32"/>
    </row>
    <row r="29" customFormat="false" ht="23.85" hidden="false" customHeight="false" outlineLevel="0" collapsed="false">
      <c r="A29" s="11" t="s">
        <v>706</v>
      </c>
      <c r="B29" s="6" t="s">
        <v>668</v>
      </c>
      <c r="C29" s="5" t="s">
        <v>661</v>
      </c>
      <c r="D29" s="5" t="n">
        <v>1</v>
      </c>
      <c r="E29" s="9" t="n">
        <v>1</v>
      </c>
      <c r="F29" s="6" t="s">
        <v>707</v>
      </c>
      <c r="G29" s="32"/>
    </row>
    <row r="30" customFormat="false" ht="15" hidden="false" customHeight="false" outlineLevel="0" collapsed="false">
      <c r="G30" s="37"/>
    </row>
    <row r="31" customFormat="false" ht="15" hidden="false" customHeight="false" outlineLevel="0" collapsed="false">
      <c r="G31" s="37"/>
    </row>
    <row r="32" customFormat="false" ht="15" hidden="false" customHeight="false" outlineLevel="0" collapsed="false">
      <c r="A32" s="2" t="s">
        <v>708</v>
      </c>
      <c r="B32" s="2" t="s">
        <v>709</v>
      </c>
    </row>
    <row r="33" customFormat="false" ht="23.85" hidden="false" customHeight="false" outlineLevel="0" collapsed="false">
      <c r="A33" s="11" t="s">
        <v>690</v>
      </c>
      <c r="B33" s="6" t="s">
        <v>710</v>
      </c>
    </row>
    <row r="34" customFormat="false" ht="23.85" hidden="false" customHeight="false" outlineLevel="0" collapsed="false">
      <c r="A34" s="11" t="s">
        <v>657</v>
      </c>
      <c r="B34" s="38" t="s">
        <v>711</v>
      </c>
    </row>
    <row r="35" customFormat="false" ht="15" hidden="false" customHeight="false" outlineLevel="0" collapsed="false">
      <c r="A35" s="11" t="s">
        <v>652</v>
      </c>
      <c r="B35" s="38" t="s">
        <v>712</v>
      </c>
    </row>
    <row r="36" customFormat="false" ht="15" hidden="false" customHeight="false" outlineLevel="0" collapsed="false">
      <c r="A36" s="11" t="s">
        <v>661</v>
      </c>
      <c r="B36" s="38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714</v>
      </c>
    </row>
    <row r="2" customFormat="false" ht="15" hidden="false" customHeight="false" outlineLevel="0" collapsed="false">
      <c r="A2" s="14" t="s">
        <v>715</v>
      </c>
    </row>
    <row r="4" customFormat="false" ht="26.85" hidden="false" customHeight="false" outlineLevel="0" collapsed="false">
      <c r="A4" s="2" t="s">
        <v>716</v>
      </c>
      <c r="B4" s="2" t="s">
        <v>717</v>
      </c>
      <c r="C4" s="2" t="s">
        <v>718</v>
      </c>
      <c r="D4" s="2" t="s">
        <v>719</v>
      </c>
    </row>
    <row r="5" customFormat="false" ht="15" hidden="false" customHeight="false" outlineLevel="0" collapsed="false">
      <c r="A5" s="5" t="n">
        <v>0</v>
      </c>
      <c r="B5" s="5" t="n">
        <v>0</v>
      </c>
      <c r="C5" s="7" t="n">
        <v>0.33</v>
      </c>
      <c r="D5" s="6" t="s">
        <v>309</v>
      </c>
    </row>
    <row r="6" customFormat="false" ht="15" hidden="false" customHeight="false" outlineLevel="0" collapsed="false">
      <c r="A6" s="5" t="n">
        <v>100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v>220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v>464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v>1021</v>
      </c>
      <c r="B9" s="5" t="n">
        <v>4</v>
      </c>
      <c r="C9" s="7" t="n">
        <v>0.33</v>
      </c>
      <c r="D9" s="6" t="s">
        <v>720</v>
      </c>
    </row>
    <row r="10" customFormat="false" ht="35.05" hidden="false" customHeight="false" outlineLevel="0" collapsed="false">
      <c r="A10" s="5" t="s">
        <v>721</v>
      </c>
      <c r="B10" s="5" t="s">
        <v>722</v>
      </c>
      <c r="C10" s="7" t="n">
        <v>0.33</v>
      </c>
      <c r="D10" s="6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1564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2026-05-25T20:48:47Z</dcterms:modified>
  <cp:revision>167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