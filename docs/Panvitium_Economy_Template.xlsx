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6" autoFilterDateGrouping="1"/>
  </bookViews>
  <sheets>
    <sheet name="Globals" sheetId="1" state="visible" r:id="rId1"/>
    <sheet name="Sins &amp; Devotion" sheetId="2" state="visible" r:id="rId2"/>
    <sheet name="Sigils" sheetId="3" state="visible" r:id="rId3"/>
    <sheet name="Logos" sheetId="4" state="visible" r:id="rId4"/>
    <sheet name="Decimatio" sheetId="5" state="visible" r:id="rId5"/>
    <sheet name="Indagatio &amp; Emptio" sheetId="6" state="visible" r:id="rId6"/>
    <sheet name="Maleficia" sheetId="7" state="visible" r:id="rId7"/>
    <sheet name="Invocatio" sheetId="8" state="visible" r:id="rId8"/>
    <sheet name="Vitium Mercatura" sheetId="9" state="visible" r:id="rId9"/>
    <sheet name="Vitium Compositum" sheetId="10" state="visible" r:id="rId10"/>
    <sheet name="Acolytes" sheetId="11" state="visible" r:id="rId11"/>
    <sheet name="Prob Tiers" sheetId="12" state="visible" r:id="rId12"/>
  </sheets>
  <definedNames>
    <definedName name="_xlnm._FilterDatabase" localSheetId="6" hidden="1">'Maleficia'!$A$4:$G$33</definedName>
    <definedName name="_xlnm._FilterDatabase" localSheetId="7" hidden="1">'Invocatio'!$A$4:$J$22</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0.000%"/>
    <numFmt numFmtId="166" formatCode="#,##0.000000"/>
    <numFmt numFmtId="167" formatCode="#,##0.000"/>
    <numFmt numFmtId="168" formatCode="#,##0.00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color theme="1"/>
      <sz val="10"/>
    </font>
    <font>
      <name val="Arial"/>
      <charset val="1"/>
      <family val="0"/>
      <b val="1"/>
      <color theme="1"/>
      <sz val="10"/>
    </font>
    <font>
      <name val="Arial"/>
      <charset val="1"/>
      <family val="0"/>
      <b val="1"/>
      <color theme="1"/>
      <sz val="16"/>
    </font>
    <font>
      <name val="Arial"/>
      <charset val="1"/>
      <family val="0"/>
      <i val="1"/>
      <color theme="1"/>
      <sz val="10"/>
    </font>
    <font>
      <name val="Calibri"/>
      <charset val="1"/>
      <family val="2"/>
      <color rgb="FFFFFFFF"/>
      <sz val="11"/>
    </font>
    <font>
      <name val="Arial"/>
      <charset val="1"/>
      <family val="0"/>
      <i val="1"/>
      <color theme="1"/>
      <sz val="9"/>
    </font>
    <font>
      <name val="Arial"/>
      <charset val="1"/>
      <family val="0"/>
      <b val="1"/>
      <color theme="1"/>
      <sz val="11"/>
    </font>
    <font>
      <name val="Arial"/>
      <charset val="1"/>
      <family val="0"/>
      <b val="1"/>
      <i val="1"/>
      <color theme="1"/>
      <sz val="11"/>
    </font>
    <font>
      <name val="Arial"/>
      <charset val="1"/>
      <family val="0"/>
      <b val="1"/>
      <color rgb="FF1A1410"/>
      <sz val="11"/>
    </font>
    <font>
      <name val="Arial"/>
      <charset val="1"/>
      <family val="0"/>
      <sz val="10"/>
    </font>
  </fonts>
  <fills count="25">
    <fill>
      <patternFill/>
    </fill>
    <fill>
      <patternFill patternType="gray125"/>
    </fill>
    <fill>
      <patternFill patternType="solid">
        <fgColor rgb="FF1A1410"/>
        <bgColor rgb="FF000000"/>
      </patternFill>
    </fill>
    <fill>
      <patternFill patternType="solid">
        <fgColor rgb="FF3A2A1A"/>
        <bgColor rgb="FF1A1410"/>
      </patternFill>
    </fill>
    <fill>
      <patternFill patternType="solid">
        <fgColor rgb="FFFF0000"/>
        <bgColor rgb="FFB11226"/>
      </patternFill>
    </fill>
    <fill>
      <patternFill patternType="solid">
        <fgColor rgb="FFFFE994"/>
        <bgColor rgb="FFFFDBB6"/>
      </patternFill>
    </fill>
    <fill>
      <patternFill patternType="solid">
        <fgColor rgb="FFBF819E"/>
        <bgColor rgb="FF999999"/>
      </patternFill>
    </fill>
    <fill>
      <patternFill patternType="solid">
        <fgColor rgb="FF81D41A"/>
        <bgColor rgb="FFD4EA6B"/>
      </patternFill>
    </fill>
    <fill>
      <patternFill patternType="solid">
        <fgColor rgb="FFFFFFA6"/>
        <bgColor rgb="FFFFE994"/>
      </patternFill>
    </fill>
    <fill>
      <patternFill patternType="solid">
        <fgColor rgb="FFFFD8CE"/>
        <bgColor rgb="FFFFDBB6"/>
      </patternFill>
    </fill>
    <fill>
      <patternFill patternType="solid">
        <fgColor rgb="FFB4C7DC"/>
        <bgColor rgb="FF9FC5E8"/>
      </patternFill>
    </fill>
    <fill>
      <patternFill patternType="solid">
        <fgColor rgb="FFFF4000"/>
        <bgColor rgb="FFD2691E"/>
      </patternFill>
    </fill>
    <fill>
      <patternFill patternType="solid">
        <fgColor rgb="FFD4EA6B"/>
        <bgColor rgb="FFFFE994"/>
      </patternFill>
    </fill>
    <fill>
      <patternFill patternType="solid">
        <fgColor rgb="FF999999"/>
        <bgColor rgb="FFBF819E"/>
      </patternFill>
    </fill>
    <fill>
      <patternFill patternType="solid">
        <fgColor rgb="FF468A1A"/>
        <bgColor rgb="FF2E7D32"/>
      </patternFill>
    </fill>
    <fill>
      <patternFill patternType="solid">
        <fgColor rgb="FFB47804"/>
        <bgColor rgb="FFD2691E"/>
      </patternFill>
    </fill>
    <fill>
      <patternFill patternType="solid">
        <fgColor rgb="FFFFDBB6"/>
        <bgColor rgb="FFFFD8CE"/>
      </patternFill>
    </fill>
    <fill>
      <patternFill patternType="solid">
        <fgColor rgb="FFB11226"/>
        <bgColor rgb="FF800000"/>
      </patternFill>
    </fill>
    <fill>
      <patternFill patternType="solid">
        <fgColor rgb="FFD2691E"/>
        <bgColor rgb="FFB47804"/>
      </patternFill>
    </fill>
    <fill>
      <patternFill patternType="solid">
        <fgColor rgb="FFE6C200"/>
        <bgColor rgb="FFFF9900"/>
      </patternFill>
    </fill>
    <fill>
      <patternFill patternType="solid">
        <fgColor rgb="FFFFFFFF"/>
        <bgColor rgb="FFCCFFFF"/>
      </patternFill>
    </fill>
    <fill>
      <patternFill patternType="solid">
        <fgColor rgb="FF2E7D32"/>
        <bgColor rgb="FF468A1A"/>
      </patternFill>
    </fill>
    <fill>
      <patternFill patternType="solid">
        <fgColor rgb="FF6A1B9A"/>
        <bgColor rgb="FF800080"/>
      </patternFill>
    </fill>
    <fill>
      <patternFill patternType="solid">
        <fgColor rgb="FF9FC5E8"/>
        <bgColor rgb="FFB4C7DC"/>
      </patternFill>
    </fill>
    <fill>
      <patternFill patternType="solid">
        <fgColor rgb="FFFFFF6D"/>
        <bgColor rgb="FFFFFFA6"/>
      </patternFill>
    </fill>
  </fills>
  <borders count="2">
    <border>
      <left/>
      <right/>
      <top/>
      <bottom/>
      <diagonal/>
    </border>
    <border>
      <left style="thin">
        <color rgb="FFC9BCA0"/>
      </left>
      <right style="thin">
        <color rgb="FFC9BCA0"/>
      </right>
      <top style="thin">
        <color rgb="FFC9BCA0"/>
      </top>
      <bottom style="thin">
        <color rgb="FFC9BCA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left" vertical="center"/>
    </xf>
    <xf numFmtId="3" fontId="5" fillId="0" borderId="1" applyAlignment="1" pivotButton="0" quotePrefix="0" xfId="0">
      <alignment horizontal="center"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165" fontId="5" fillId="0" borderId="1" applyAlignment="1" pivotButton="0" quotePrefix="0" xfId="0">
      <alignment horizontal="center" vertical="center"/>
    </xf>
    <xf numFmtId="0" fontId="6" fillId="0" borderId="1" applyAlignment="1" pivotButton="0" quotePrefix="0" xfId="0">
      <alignment horizontal="left" vertical="center"/>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1" applyAlignment="1" pivotButton="0" quotePrefix="0" xfId="0">
      <alignment horizontal="left" vertical="center" wrapText="1"/>
    </xf>
    <xf numFmtId="0" fontId="4" fillId="3" borderId="0" applyAlignment="1" pivotButton="0" quotePrefix="0" xfId="0">
      <alignment horizontal="left" vertical="center"/>
    </xf>
    <xf numFmtId="4" fontId="5" fillId="0" borderId="1" applyAlignment="1" pivotButton="0" quotePrefix="0" xfId="0">
      <alignment horizontal="center"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5" fillId="4" borderId="1" applyAlignment="1" pivotButton="0" quotePrefix="0" xfId="0">
      <alignment horizontal="left" vertical="center" wrapText="1"/>
    </xf>
    <xf numFmtId="166" fontId="5" fillId="0" borderId="1" applyAlignment="1" pivotButton="0" quotePrefix="0" xfId="0">
      <alignment horizontal="center" vertical="bottom"/>
    </xf>
    <xf numFmtId="10" fontId="5" fillId="0" borderId="1" applyAlignment="1" pivotButton="0" quotePrefix="0" xfId="0">
      <alignment horizontal="center" vertical="center"/>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15" borderId="1" applyAlignment="1" pivotButton="0" quotePrefix="0" xfId="0">
      <alignment horizontal="left" vertical="center" wrapText="1"/>
    </xf>
    <xf numFmtId="167" fontId="5" fillId="0" borderId="1" applyAlignment="1" pivotButton="0" quotePrefix="0" xfId="0">
      <alignment horizontal="center" vertical="bottom"/>
    </xf>
    <xf numFmtId="168" fontId="5" fillId="0" borderId="1" applyAlignment="1" pivotButton="0" quotePrefix="0" xfId="0">
      <alignment horizontal="center" vertical="bottom"/>
    </xf>
    <xf numFmtId="0" fontId="5" fillId="16" borderId="1" applyAlignment="1" pivotButton="0" quotePrefix="0" xfId="0">
      <alignment horizontal="left" vertical="center" wrapText="1"/>
    </xf>
    <xf numFmtId="0" fontId="10" fillId="0" borderId="0" applyAlignment="1" pivotButton="0" quotePrefix="0" xfId="0">
      <alignment horizontal="general" vertical="bottom" wrapText="1"/>
    </xf>
    <xf numFmtId="0" fontId="11" fillId="17" borderId="1" applyAlignment="1" pivotButton="0" quotePrefix="0" xfId="0">
      <alignment horizontal="center" vertical="center"/>
    </xf>
    <xf numFmtId="0" fontId="11"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xf>
    <xf numFmtId="0" fontId="11" fillId="21" borderId="1" applyAlignment="1" pivotButton="0" quotePrefix="0" xfId="0">
      <alignment horizontal="center" vertical="center"/>
    </xf>
    <xf numFmtId="0" fontId="11" fillId="22" borderId="1" applyAlignment="1" pivotButton="0" quotePrefix="0" xfId="0">
      <alignment horizontal="center" vertical="center"/>
    </xf>
    <xf numFmtId="0" fontId="11" fillId="23" borderId="1" applyAlignment="1" pivotButton="0" quotePrefix="0" xfId="0">
      <alignment horizontal="center" vertical="center"/>
    </xf>
    <xf numFmtId="164" fontId="6" fillId="0" borderId="1" applyAlignment="1" pivotButton="0" quotePrefix="0" xfId="0">
      <alignment horizontal="center" vertical="center"/>
    </xf>
    <xf numFmtId="0" fontId="12" fillId="2" borderId="1" applyAlignment="1" pivotButton="0" quotePrefix="0" xfId="0">
      <alignment horizontal="center" vertical="center" wrapText="1"/>
    </xf>
    <xf numFmtId="1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14" fillId="0" borderId="0" applyAlignment="1" pivotButton="0" quotePrefix="0" xfId="0">
      <alignment horizontal="general" vertical="bottom"/>
    </xf>
    <xf numFmtId="0" fontId="6" fillId="12" borderId="1" applyAlignment="1" pivotButton="0" quotePrefix="0" xfId="0">
      <alignment horizontal="left" vertical="center"/>
    </xf>
    <xf numFmtId="0" fontId="6" fillId="24" borderId="1" applyAlignment="1" pivotButton="0" quotePrefix="0" xfId="0">
      <alignment horizontal="left" vertical="center"/>
    </xf>
    <xf numFmtId="0" fontId="6" fillId="4" borderId="1" applyAlignment="1" pivotButton="0" quotePrefix="0" xfId="0">
      <alignment horizontal="left" vertical="center"/>
    </xf>
    <xf numFmtId="4" fontId="6" fillId="0" borderId="1" applyAlignment="1" pivotButton="0" quotePrefix="0" xfId="0">
      <alignment horizontal="center" vertical="center"/>
    </xf>
    <xf numFmtId="10" fontId="6"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center"/>
    </xf>
    <xf numFmtId="3" fontId="5" fillId="0" borderId="1" applyAlignment="1" pivotButton="0" quotePrefix="0" xfId="0">
      <alignment horizontal="center" vertical="center"/>
    </xf>
    <xf numFmtId="0" fontId="5" fillId="0" borderId="1" applyAlignment="1" pivotButton="0" quotePrefix="0" xfId="0">
      <alignment horizontal="center" vertical="center"/>
    </xf>
    <xf numFmtId="164" fontId="5" fillId="0" borderId="1" applyAlignment="1" pivotButton="0" quotePrefix="0" xfId="0">
      <alignment horizontal="center" vertical="center"/>
    </xf>
    <xf numFmtId="165" fontId="5" fillId="0" borderId="1" applyAlignment="1" pivotButton="0" quotePrefix="0" xfId="0">
      <alignment horizontal="center" vertical="center"/>
    </xf>
    <xf numFmtId="0" fontId="6" fillId="0" borderId="1" applyAlignment="1" pivotButton="0" quotePrefix="0" xfId="0">
      <alignment horizontal="left" vertical="center"/>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5" fillId="0" borderId="1" applyAlignment="1" pivotButton="0" quotePrefix="0" xfId="0">
      <alignment horizontal="left" vertical="center" wrapText="1"/>
    </xf>
    <xf numFmtId="0" fontId="4" fillId="3" borderId="0" applyAlignment="1" pivotButton="0" quotePrefix="0" xfId="0">
      <alignment horizontal="left" vertical="center"/>
    </xf>
    <xf numFmtId="4" fontId="5" fillId="0" borderId="1" applyAlignment="1" pivotButton="0" quotePrefix="0" xfId="0">
      <alignment horizontal="center"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5" fillId="4" borderId="1" applyAlignment="1" pivotButton="0" quotePrefix="0" xfId="0">
      <alignment horizontal="left" vertical="center" wrapText="1"/>
    </xf>
    <xf numFmtId="166" fontId="5" fillId="0" borderId="1" applyAlignment="1" pivotButton="0" quotePrefix="0" xfId="0">
      <alignment horizontal="center" vertical="bottom"/>
    </xf>
    <xf numFmtId="10" fontId="5" fillId="0" borderId="1" applyAlignment="1" pivotButton="0" quotePrefix="0" xfId="0">
      <alignment horizontal="center" vertical="center"/>
    </xf>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5" fillId="8" borderId="1" applyAlignment="1" pivotButton="0" quotePrefix="0" xfId="0">
      <alignment horizontal="left"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5" fillId="11" borderId="1" applyAlignment="1" pivotButton="0" quotePrefix="0" xfId="0">
      <alignment horizontal="left" vertical="center" wrapText="1"/>
    </xf>
    <xf numFmtId="0" fontId="5" fillId="12" borderId="1" applyAlignment="1" pivotButton="0" quotePrefix="0" xfId="0">
      <alignment horizontal="left" vertical="center" wrapText="1"/>
    </xf>
    <xf numFmtId="0" fontId="5" fillId="13" borderId="1" applyAlignment="1" pivotButton="0" quotePrefix="0" xfId="0">
      <alignment horizontal="left" vertical="center" wrapText="1"/>
    </xf>
    <xf numFmtId="0" fontId="5" fillId="14" borderId="1" applyAlignment="1" pivotButton="0" quotePrefix="0" xfId="0">
      <alignment horizontal="left" vertical="center" wrapText="1"/>
    </xf>
    <xf numFmtId="0" fontId="5" fillId="15" borderId="1" applyAlignment="1" pivotButton="0" quotePrefix="0" xfId="0">
      <alignment horizontal="left" vertical="center" wrapText="1"/>
    </xf>
    <xf numFmtId="167" fontId="5" fillId="0" borderId="1" applyAlignment="1" pivotButton="0" quotePrefix="0" xfId="0">
      <alignment horizontal="center" vertical="bottom"/>
    </xf>
    <xf numFmtId="168" fontId="5" fillId="0" borderId="1" applyAlignment="1" pivotButton="0" quotePrefix="0" xfId="0">
      <alignment horizontal="center" vertical="bottom"/>
    </xf>
    <xf numFmtId="0" fontId="5" fillId="16" borderId="1" applyAlignment="1" pivotButton="0" quotePrefix="0" xfId="0">
      <alignment horizontal="left" vertical="center" wrapText="1"/>
    </xf>
    <xf numFmtId="0" fontId="10" fillId="0" borderId="0" applyAlignment="1" pivotButton="0" quotePrefix="0" xfId="0">
      <alignment horizontal="general" vertical="bottom" wrapText="1"/>
    </xf>
    <xf numFmtId="0" fontId="11" fillId="17" borderId="1" applyAlignment="1" pivotButton="0" quotePrefix="0" xfId="0">
      <alignment horizontal="center" vertical="center"/>
    </xf>
    <xf numFmtId="0" fontId="11" fillId="18" borderId="1" applyAlignment="1" pivotButton="0" quotePrefix="0" xfId="0">
      <alignment horizontal="center" vertical="center"/>
    </xf>
    <xf numFmtId="0" fontId="11" fillId="19" borderId="1" applyAlignment="1" pivotButton="0" quotePrefix="0" xfId="0">
      <alignment horizontal="center" vertical="center"/>
    </xf>
    <xf numFmtId="0" fontId="11" fillId="20" borderId="1" applyAlignment="1" pivotButton="0" quotePrefix="0" xfId="0">
      <alignment horizontal="center" vertical="center"/>
    </xf>
    <xf numFmtId="0" fontId="11" fillId="21" borderId="1" applyAlignment="1" pivotButton="0" quotePrefix="0" xfId="0">
      <alignment horizontal="center" vertical="center"/>
    </xf>
    <xf numFmtId="0" fontId="11" fillId="22" borderId="1" applyAlignment="1" pivotButton="0" quotePrefix="0" xfId="0">
      <alignment horizontal="center" vertical="center"/>
    </xf>
    <xf numFmtId="0" fontId="11" fillId="23" borderId="1" applyAlignment="1" pivotButton="0" quotePrefix="0" xfId="0">
      <alignment horizontal="center" vertical="center"/>
    </xf>
    <xf numFmtId="164" fontId="6" fillId="0" borderId="1" applyAlignment="1" pivotButton="0" quotePrefix="0" xfId="0">
      <alignment horizontal="center" vertical="center"/>
    </xf>
    <xf numFmtId="0" fontId="12" fillId="2" borderId="1" applyAlignment="1" pivotButton="0" quotePrefix="0" xfId="0">
      <alignment horizontal="center" vertical="center" wrapText="1"/>
    </xf>
    <xf numFmtId="1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5" fillId="0" borderId="1" applyAlignment="1" pivotButton="0" quotePrefix="0" xfId="0">
      <alignment horizontal="center" vertical="center" wrapText="1"/>
    </xf>
    <xf numFmtId="164" fontId="5" fillId="0" borderId="1" applyAlignment="1" pivotButton="0" quotePrefix="0" xfId="0">
      <alignment horizontal="center" vertical="center" wrapText="1"/>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164" fontId="14" fillId="0" borderId="0" applyAlignment="1" pivotButton="0" quotePrefix="0" xfId="0">
      <alignment horizontal="general" vertical="bottom"/>
    </xf>
    <xf numFmtId="0" fontId="6" fillId="12" borderId="1" applyAlignment="1" pivotButton="0" quotePrefix="0" xfId="0">
      <alignment horizontal="left" vertical="center"/>
    </xf>
    <xf numFmtId="0" fontId="6" fillId="24" borderId="1" applyAlignment="1" pivotButton="0" quotePrefix="0" xfId="0">
      <alignment horizontal="left" vertical="center"/>
    </xf>
    <xf numFmtId="0" fontId="6" fillId="4" borderId="1" applyAlignment="1" pivotButton="0" quotePrefix="0" xfId="0">
      <alignment horizontal="left" vertical="center"/>
    </xf>
    <xf numFmtId="4" fontId="6" fillId="0" borderId="1" applyAlignment="1" pivotButton="0" quotePrefix="0" xfId="0">
      <alignment horizontal="center" vertical="center"/>
    </xf>
    <xf numFmtId="10" fontId="6" fillId="0"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A141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6D"/>
      <rgbColor rgb="FFFF00FF"/>
      <rgbColor rgb="FF00FFFF"/>
      <rgbColor rgb="FF800000"/>
      <rgbColor rgb="FF468A1A"/>
      <rgbColor rgb="FF000080"/>
      <rgbColor rgb="FFB47804"/>
      <rgbColor rgb="FF6A1B9A"/>
      <rgbColor rgb="FF008080"/>
      <rgbColor rgb="FFC9BCA0"/>
      <rgbColor rgb="FFBF819E"/>
      <rgbColor rgb="FF9999FF"/>
      <rgbColor rgb="FF993366"/>
      <rgbColor rgb="FFFFE994"/>
      <rgbColor rgb="FFFFD8CE"/>
      <rgbColor rgb="FF660066"/>
      <rgbColor rgb="FFFF4000"/>
      <rgbColor rgb="FF0066CC"/>
      <rgbColor rgb="FFB4C7DC"/>
      <rgbColor rgb="FF000080"/>
      <rgbColor rgb="FFFF00FF"/>
      <rgbColor rgb="FFFFFF00"/>
      <rgbColor rgb="FF00FFFF"/>
      <rgbColor rgb="FF800080"/>
      <rgbColor rgb="FF800000"/>
      <rgbColor rgb="FF008080"/>
      <rgbColor rgb="FF0000FF"/>
      <rgbColor rgb="FF00CCFF"/>
      <rgbColor rgb="FFCCFFFF"/>
      <rgbColor rgb="FFD4EA6B"/>
      <rgbColor rgb="FFFFFFA6"/>
      <rgbColor rgb="FF9FC5E8"/>
      <rgbColor rgb="FFFF99CC"/>
      <rgbColor rgb="FFCC99FF"/>
      <rgbColor rgb="FFFFDBB6"/>
      <rgbColor rgb="FF3366FF"/>
      <rgbColor rgb="FF33CCCC"/>
      <rgbColor rgb="FF81D41A"/>
      <rgbColor rgb="FFE6C200"/>
      <rgbColor rgb="FFFF9900"/>
      <rgbColor rgb="FFD2691E"/>
      <rgbColor rgb="FF666699"/>
      <rgbColor rgb="FF999999"/>
      <rgbColor rgb="FF003366"/>
      <rgbColor rgb="FF2E7D32"/>
      <rgbColor rgb="FF003300"/>
      <rgbColor rgb="FF1A1410"/>
      <rgbColor rgb="FFB11226"/>
      <rgbColor rgb="FF993366"/>
      <rgbColor rgb="FF333399"/>
      <rgbColor rgb="FF3A2A1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8" activeCellId="0" sqref="A8"/>
    </sheetView>
  </sheetViews>
  <sheetFormatPr baseColWidth="8" defaultColWidth="8.6796875" defaultRowHeight="13.5" zeroHeight="0" outlineLevelRow="0"/>
  <cols>
    <col width="47.16" customWidth="1" style="56" min="1" max="1"/>
    <col width="16" customWidth="1" style="56" min="2" max="2"/>
    <col width="25.32" customWidth="1" style="56" min="3" max="3"/>
    <col width="11.53" customWidth="1" style="56" min="16384" max="16384"/>
  </cols>
  <sheetData>
    <row r="1" ht="13.5" customHeight="1" s="57">
      <c r="A1" s="58" t="inlineStr">
        <is>
          <t>Constant</t>
        </is>
      </c>
      <c r="B1" s="58" t="inlineStr">
        <is>
          <t>Value</t>
        </is>
      </c>
      <c r="C1" s="58" t="inlineStr">
        <is>
          <t>Unit</t>
        </is>
      </c>
    </row>
    <row r="2" ht="13.5" customHeight="1" s="57">
      <c r="A2" s="59" t="inlineStr">
        <is>
          <t>Base gold gain</t>
        </is>
      </c>
      <c r="B2" s="60" t="n">
        <v>2</v>
      </c>
      <c r="C2" s="61" t="inlineStr">
        <is>
          <t>gold / s</t>
        </is>
      </c>
    </row>
    <row r="3" ht="13.5" customHeight="1" s="57">
      <c r="A3" s="59" t="inlineStr">
        <is>
          <t>Base max influence</t>
        </is>
      </c>
      <c r="B3" s="60" t="n">
        <v>100</v>
      </c>
      <c r="C3" s="61" t="inlineStr">
        <is>
          <t>infl</t>
        </is>
      </c>
    </row>
    <row r="4" ht="13.5" customHeight="1" s="57">
      <c r="A4" s="59" t="inlineStr">
        <is>
          <t>Base influence gain</t>
        </is>
      </c>
      <c r="B4" s="62" t="n">
        <v>0.005</v>
      </c>
      <c r="C4" s="61" t="inlineStr">
        <is>
          <t>% of max infl / s</t>
        </is>
      </c>
    </row>
    <row r="5" ht="13.5" customHeight="1" s="57">
      <c r="A5" s="59" t="inlineStr">
        <is>
          <t>Base reprobate suicide rate</t>
        </is>
      </c>
      <c r="B5" s="63" t="n">
        <v>0.0001</v>
      </c>
      <c r="C5" s="61" t="inlineStr">
        <is>
          <t>/ s of current reprobates</t>
        </is>
      </c>
    </row>
    <row r="6" ht="13.5" customHeight="1" s="57">
      <c r="A6" s="59" t="inlineStr">
        <is>
          <t>Base reprobate murder rate</t>
        </is>
      </c>
      <c r="B6" s="63" t="n">
        <v>0.0002</v>
      </c>
      <c r="C6" s="61" t="inlineStr">
        <is>
          <t>/ s of current reprobates</t>
        </is>
      </c>
    </row>
    <row r="7" ht="13.5" customHeight="1" s="57">
      <c r="A7" s="59" t="inlineStr">
        <is>
          <t>Player base online efficiency</t>
        </is>
      </c>
      <c r="B7" s="62" t="n">
        <v>1</v>
      </c>
      <c r="C7" s="61" t="inlineStr">
        <is>
          <t>x</t>
        </is>
      </c>
    </row>
    <row r="8" ht="13.5" customHeight="1" s="57">
      <c r="A8" s="59" t="inlineStr">
        <is>
          <t>Player base offline efficiency</t>
        </is>
      </c>
      <c r="B8" s="62" t="n">
        <v>0.5</v>
      </c>
      <c r="C8" s="61" t="inlineStr">
        <is>
          <t>x</t>
        </is>
      </c>
    </row>
    <row r="9" ht="13.5" customHeight="1" s="57">
      <c r="A9" s="59" t="inlineStr">
        <is>
          <t>Acolyte base efficiency</t>
        </is>
      </c>
      <c r="B9" s="62" t="n">
        <v>0.33</v>
      </c>
      <c r="C9" s="61" t="inlineStr">
        <is>
          <t>x of player</t>
        </is>
      </c>
    </row>
    <row r="10" ht="13.5" customHeight="1" s="57">
      <c r="A10" s="59" t="inlineStr">
        <is>
          <t>Invocation base efficiency</t>
        </is>
      </c>
      <c r="B10" s="62" t="n">
        <v>0.05</v>
      </c>
      <c r="C10" s="61" t="inlineStr">
        <is>
          <t>x of player</t>
        </is>
      </c>
    </row>
    <row r="11" ht="13.5" customHeight="1" s="57">
      <c r="A11" s="59" t="inlineStr">
        <is>
          <t>Base remaining gold % (Katabasis)</t>
        </is>
      </c>
      <c r="B11" s="62" t="n">
        <v>0.05</v>
      </c>
      <c r="C11" s="61" t="inlineStr">
        <is>
          <t>%</t>
        </is>
      </c>
    </row>
    <row r="12" ht="13.5" customHeight="1" s="57">
      <c r="A12" s="59" t="inlineStr">
        <is>
          <t>Base remaining maleficia chance (Katabasis)</t>
        </is>
      </c>
      <c r="B12" s="62" t="n">
        <v>0.05</v>
      </c>
      <c r="C12" s="61" t="inlineStr">
        <is>
          <t>%</t>
        </is>
      </c>
    </row>
    <row r="13" ht="13.5" customHeight="1" s="57">
      <c r="A13" s="59" t="inlineStr">
        <is>
          <t>Base remaining reprobate % (Katabasis)</t>
        </is>
      </c>
      <c r="B13" s="62" t="n">
        <v>0.05</v>
      </c>
      <c r="C13" s="61" t="inlineStr">
        <is>
          <t>%</t>
        </is>
      </c>
    </row>
    <row r="14" ht="13.5" customHeight="1" s="57">
      <c r="A14" s="59" t="inlineStr">
        <is>
          <t>Business shutdown gold recovery</t>
        </is>
      </c>
      <c r="B14" s="62" t="n">
        <v>0.25</v>
      </c>
      <c r="C14" s="61" t="inlineStr">
        <is>
          <t>%</t>
        </is>
      </c>
    </row>
    <row r="15" ht="13.5" customHeight="1" s="57">
      <c r="A15" s="59" t="inlineStr">
        <is>
          <t>Devotion level cost base</t>
        </is>
      </c>
      <c r="B15" s="60" t="n">
        <v>180</v>
      </c>
      <c r="C15" s="61" t="inlineStr">
        <is>
          <t>souls (^level)</t>
        </is>
      </c>
    </row>
    <row r="16" ht="13.5" customHeight="1" s="57">
      <c r="A16" s="59" t="inlineStr">
        <is>
          <t>Eternal Sin (Semet) cost</t>
        </is>
      </c>
      <c r="B16" s="60" t="n">
        <v>8398080000</v>
      </c>
      <c r="C16" s="61" t="inlineStr">
        <is>
          <t>souls</t>
        </is>
      </c>
    </row>
    <row r="17" ht="13.5" customHeight="1" s="57">
      <c r="A17" s="59" t="inlineStr">
        <is>
          <t>Base VC gold cost</t>
        </is>
      </c>
      <c r="B17" s="61" t="n">
        <v>100</v>
      </c>
      <c r="C17" s="61" t="inlineStr">
        <is>
          <t>gold / s</t>
        </is>
      </c>
    </row>
    <row r="18" ht="13.5" customHeight="1" s="57">
      <c r="A18" s="59" t="inlineStr">
        <is>
          <t>Base VC influence cost</t>
        </is>
      </c>
      <c r="B18" s="61" t="n">
        <v>10</v>
      </c>
      <c r="C18" s="61" t="inlineStr">
        <is>
          <t>Influence / s</t>
        </is>
      </c>
    </row>
    <row r="19" ht="13.5" customHeight="1" s="57">
      <c r="A19" s="59" t="inlineStr">
        <is>
          <t>Base VC gold output</t>
        </is>
      </c>
      <c r="B19" s="60" t="n">
        <v>100</v>
      </c>
      <c r="C19" s="61" t="inlineStr">
        <is>
          <t>gold / s</t>
        </is>
      </c>
    </row>
    <row r="20" ht="13.5" customHeight="1" s="57">
      <c r="A20" s="59" t="inlineStr">
        <is>
          <t>Base VC influence output</t>
        </is>
      </c>
      <c r="B20" s="60" t="n">
        <v>10</v>
      </c>
      <c r="C20" s="61" t="inlineStr">
        <is>
          <t>Influence / s</t>
        </is>
      </c>
    </row>
    <row r="21" ht="13.5" customHeight="1" s="57">
      <c r="A21" s="59" t="inlineStr">
        <is>
          <t>Base sigil coefficient</t>
        </is>
      </c>
      <c r="B21" s="61" t="n">
        <v>1</v>
      </c>
      <c r="C21" s="61" t="n"/>
    </row>
    <row r="22" ht="13.5" customHeight="1" s="57"/>
    <row r="23" ht="13.5" customHeight="1" s="57">
      <c r="A23" s="64" t="inlineStr">
        <is>
          <t>Check: 8 x 180^4</t>
        </is>
      </c>
      <c r="B23" s="60">
        <f>8*B15^4</f>
        <v/>
      </c>
    </row>
    <row r="24" ht="13.5" customHeight="1" s="5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F12" activeCellId="0" sqref="F12"/>
    </sheetView>
  </sheetViews>
  <sheetFormatPr baseColWidth="8" defaultColWidth="8.6796875" defaultRowHeight="15" zeroHeight="0" outlineLevelRow="0"/>
  <cols>
    <col width="17.39" customWidth="1" style="56" min="1" max="1"/>
    <col width="16.69" customWidth="1" style="56" min="2" max="2"/>
    <col width="11" customWidth="1" style="56" min="3" max="3"/>
    <col width="14" customWidth="1" style="56" min="4" max="4"/>
    <col width="39.51" customWidth="1" style="56" min="5" max="5"/>
    <col width="34" customWidth="1" style="56" min="6" max="6"/>
    <col width="11" customWidth="1" style="56" min="7" max="7"/>
    <col width="12" customWidth="1" style="56" min="8" max="8"/>
    <col width="14" customWidth="1" style="56" min="9" max="9"/>
    <col width="15" customWidth="1" style="56" min="10" max="10"/>
    <col width="11" customWidth="1" style="56" min="11" max="11"/>
    <col width="9" customWidth="1" style="56" min="12" max="12"/>
    <col width="11" customWidth="1" style="56" min="13" max="13"/>
  </cols>
  <sheetData>
    <row r="1" ht="19.5" customHeight="1" s="57">
      <c r="A1" s="65" t="inlineStr">
        <is>
          <t>Cardinal Sins, Devotion &amp; Levels</t>
        </is>
      </c>
    </row>
    <row r="2" ht="15" customHeight="1" s="57">
      <c r="A2" s="66" t="inlineStr">
        <is>
          <t>Level threshold (total devotion needed) = 180^X (cumulative), where X is level. Skill intensity = (LN(Y)^2)/65.37, where Y is total devotion.</t>
        </is>
      </c>
    </row>
    <row r="4" ht="15" customHeight="1" s="57">
      <c r="A4" s="58" t="inlineStr">
        <is>
          <t>Prince</t>
        </is>
      </c>
      <c r="B4" s="58" t="inlineStr">
        <is>
          <t>Sin (Latin)</t>
        </is>
      </c>
      <c r="C4" s="58" t="inlineStr">
        <is>
          <t>English</t>
        </is>
      </c>
      <c r="D4" s="58" t="inlineStr">
        <is>
          <t>Skill</t>
        </is>
      </c>
      <c r="E4" s="58" t="inlineStr">
        <is>
          <t>Skill effect</t>
        </is>
      </c>
      <c r="F4" s="58" t="inlineStr">
        <is>
          <t>Per-level effect</t>
        </is>
      </c>
    </row>
    <row r="5" ht="34.5" customHeight="1" s="57">
      <c r="A5" s="59" t="inlineStr">
        <is>
          <t>Beelzebub</t>
        </is>
      </c>
      <c r="B5" s="59" t="inlineStr">
        <is>
          <t>Gula</t>
        </is>
      </c>
      <c r="C5" s="59" t="inlineStr">
        <is>
          <t>Gluttony</t>
        </is>
      </c>
      <c r="D5" s="59" t="inlineStr">
        <is>
          <t>Insatiability</t>
        </is>
      </c>
      <c r="E5" s="67" t="inlineStr">
        <is>
          <t>+ online player efficiency</t>
        </is>
      </c>
      <c r="F5" s="67" t="inlineStr">
        <is>
          <t>-25% Bad, Terrible and Apocalyptic chance (additive, lvl 4 you have 0% negative outcome chances)</t>
        </is>
      </c>
    </row>
    <row r="6" ht="23.25" customHeight="1" s="57">
      <c r="A6" s="59" t="inlineStr">
        <is>
          <t>Asmodeus</t>
        </is>
      </c>
      <c r="B6" s="59" t="inlineStr">
        <is>
          <t>Luxuria</t>
        </is>
      </c>
      <c r="C6" s="59" t="inlineStr">
        <is>
          <t>Lust</t>
        </is>
      </c>
      <c r="D6" s="59" t="inlineStr">
        <is>
          <t>Seduction</t>
        </is>
      </c>
      <c r="E6" s="67" t="inlineStr">
        <is>
          <t>+ reprobate generation rate</t>
        </is>
      </c>
      <c r="F6" s="67" t="inlineStr">
        <is>
          <t>+100% overall Logos efficiency (mult) /lvl; unlocks Logos actions and toggles</t>
        </is>
      </c>
    </row>
    <row r="7" ht="15" customHeight="1" s="57">
      <c r="A7" s="59" t="inlineStr">
        <is>
          <t>Mammon</t>
        </is>
      </c>
      <c r="B7" s="59" t="inlineStr">
        <is>
          <t>Avaritia</t>
        </is>
      </c>
      <c r="C7" s="59" t="inlineStr">
        <is>
          <t>Greed</t>
        </is>
      </c>
      <c r="D7" s="59" t="inlineStr">
        <is>
          <t>Golden Hand</t>
        </is>
      </c>
      <c r="E7" s="67" t="inlineStr">
        <is>
          <t>+ gold gain rate</t>
        </is>
      </c>
      <c r="F7" s="67" t="inlineStr">
        <is>
          <t>+12.5% remaining gold % / level</t>
        </is>
      </c>
    </row>
    <row r="8" ht="15" customHeight="1" s="57">
      <c r="A8" s="59" t="inlineStr">
        <is>
          <t>Leviathan</t>
        </is>
      </c>
      <c r="B8" s="59" t="inlineStr">
        <is>
          <t>Tristitia</t>
        </is>
      </c>
      <c r="C8" s="59" t="inlineStr">
        <is>
          <t>Sorrow</t>
        </is>
      </c>
      <c r="D8" s="59" t="inlineStr">
        <is>
          <t>Resignation</t>
        </is>
      </c>
      <c r="E8" s="67" t="inlineStr">
        <is>
          <t>+ acolyte efficiency</t>
        </is>
      </c>
      <c r="F8" s="67" t="inlineStr">
        <is>
          <t>+12.5% remaining reprobate % /lvl</t>
        </is>
      </c>
    </row>
    <row r="9" ht="34.5" customHeight="1" s="57">
      <c r="A9" s="59" t="inlineStr">
        <is>
          <t>Satan</t>
        </is>
      </c>
      <c r="B9" s="59" t="inlineStr">
        <is>
          <t>Ira</t>
        </is>
      </c>
      <c r="C9" s="59" t="inlineStr">
        <is>
          <t>Wrath</t>
        </is>
      </c>
      <c r="D9" s="59" t="inlineStr">
        <is>
          <t>Retribution</t>
        </is>
      </c>
      <c r="E9" s="67" t="inlineStr">
        <is>
          <t>+ invocation efficiency</t>
        </is>
      </c>
      <c r="F9" s="67" t="inlineStr">
        <is>
          <t>+100% overall Decimatio efficiency (mult); unlocks Decimatio actions and toggles</t>
        </is>
      </c>
    </row>
    <row r="10" ht="23.25" customHeight="1" s="57">
      <c r="A10" s="59" t="inlineStr">
        <is>
          <t>Belphegor</t>
        </is>
      </c>
      <c r="B10" s="59" t="inlineStr">
        <is>
          <t>Acedia</t>
        </is>
      </c>
      <c r="C10" s="59" t="inlineStr">
        <is>
          <t>Sloth</t>
        </is>
      </c>
      <c r="D10" s="59" t="inlineStr">
        <is>
          <t>Procrastination</t>
        </is>
      </c>
      <c r="E10" s="67" t="inlineStr">
        <is>
          <t>+ offline player efficiency</t>
        </is>
      </c>
      <c r="F10" s="67" t="inlineStr">
        <is>
          <t>offline mult 1.0000002^(s*(L^2)), where L is level and s is seconds offline in a row</t>
        </is>
      </c>
    </row>
    <row r="11" ht="15" customHeight="1" s="57">
      <c r="A11" s="59" t="inlineStr">
        <is>
          <t>Rosier</t>
        </is>
      </c>
      <c r="B11" s="59" t="inlineStr">
        <is>
          <t>Vanagloria</t>
        </is>
      </c>
      <c r="C11" s="59" t="inlineStr">
        <is>
          <t>Vainglory</t>
        </is>
      </c>
      <c r="D11" s="59" t="inlineStr">
        <is>
          <t>Acclaim</t>
        </is>
      </c>
      <c r="E11" s="67" t="inlineStr">
        <is>
          <t>+ max influence</t>
        </is>
      </c>
      <c r="F11" s="67" t="inlineStr">
        <is>
          <t>*1.33 influence gain rate /lvl</t>
        </is>
      </c>
    </row>
    <row r="12" ht="15" customHeight="1" s="57">
      <c r="A12" s="59" t="inlineStr">
        <is>
          <t>Lucifer</t>
        </is>
      </c>
      <c r="B12" s="59" t="inlineStr">
        <is>
          <t>Superbia</t>
        </is>
      </c>
      <c r="C12" s="59" t="inlineStr">
        <is>
          <t>Pride</t>
        </is>
      </c>
      <c r="D12" s="59" t="inlineStr">
        <is>
          <t>Morning Star</t>
        </is>
      </c>
      <c r="E12" s="67" t="inlineStr">
        <is>
          <t>+ Stellar chance</t>
        </is>
      </c>
      <c r="F12" s="67" t="inlineStr">
        <is>
          <t>+12.5% remaining maleficia chance /lvl</t>
        </is>
      </c>
    </row>
    <row r="15" ht="15" customHeight="1" s="57">
      <c r="A15" s="68" t="inlineStr">
        <is>
          <t>Skill intensity sampled over total Devotion x (applies multiplicatively)</t>
        </is>
      </c>
    </row>
    <row r="16" ht="15" customHeight="1" s="57">
      <c r="A16" s="58" t="inlineStr">
        <is>
          <t>Devotion x</t>
        </is>
      </c>
      <c r="B16" s="58" t="inlineStr">
        <is>
          <t>Intensity</t>
        </is>
      </c>
    </row>
    <row r="17" ht="15" customHeight="1" s="57">
      <c r="A17" s="60" t="n">
        <v>1</v>
      </c>
      <c r="B17" s="69">
        <f>(LN(A17)^2)/65.37</f>
        <v/>
      </c>
    </row>
    <row r="18" ht="15" customHeight="1" s="57">
      <c r="A18" s="60" t="n">
        <v>10</v>
      </c>
      <c r="B18" s="69">
        <f>(LN(A18)^2)/65.37</f>
        <v/>
      </c>
    </row>
    <row r="19" ht="15" customHeight="1" s="57">
      <c r="A19" s="60" t="n">
        <v>50</v>
      </c>
      <c r="B19" s="69">
        <f>(LN(A19)^2)/65.37</f>
        <v/>
      </c>
    </row>
    <row r="20" ht="15" customHeight="1" s="57">
      <c r="A20" s="60" t="n">
        <v>180</v>
      </c>
      <c r="B20" s="69">
        <f>(LN(A20)^2)/65.37</f>
        <v/>
      </c>
    </row>
    <row r="21" ht="15" customHeight="1" s="57">
      <c r="A21" s="60" t="n">
        <v>32400</v>
      </c>
      <c r="B21" s="69">
        <f>(LN(A21)^2)/65.37</f>
        <v/>
      </c>
    </row>
    <row r="22" ht="15" customHeight="1" s="57">
      <c r="A22" s="60" t="n">
        <v>5832000</v>
      </c>
      <c r="B22" s="69">
        <f>(LN(A22)^2)/65.37</f>
        <v/>
      </c>
    </row>
    <row r="23" ht="15" customHeight="1" s="57">
      <c r="A23" s="60" t="n">
        <v>1049760000</v>
      </c>
      <c r="B23" s="69">
        <f>(LN(A23)^2)/65.37</f>
        <v/>
      </c>
    </row>
    <row r="1048576" ht="12.75" customHeight="1" s="57"/>
  </sheetData>
  <mergeCells count="1">
    <mergeCell ref="A15:G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76"/>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D41" activeCellId="0" sqref="D41"/>
    </sheetView>
  </sheetViews>
  <sheetFormatPr baseColWidth="8" defaultColWidth="8.6796875" defaultRowHeight="15" zeroHeight="0" outlineLevelRow="0"/>
  <cols>
    <col width="31.57" customWidth="1" style="56" min="1" max="1"/>
    <col width="14" customWidth="1" style="56" min="2" max="2"/>
    <col width="34" customWidth="1" style="56" min="3" max="3"/>
    <col width="46" customWidth="1" style="56" min="4" max="4"/>
    <col width="10" customWidth="1" style="56" min="5" max="5"/>
    <col width="12" customWidth="1" style="56" min="6" max="6"/>
    <col width="14.74" customWidth="1" style="56" min="7" max="7"/>
    <col width="12" customWidth="1" style="56" min="8" max="8"/>
  </cols>
  <sheetData>
    <row r="1" ht="24.75" customHeight="1" s="57">
      <c r="A1" s="65" t="inlineStr">
        <is>
          <t>Sigils — the 72 Goetia</t>
        </is>
      </c>
    </row>
    <row r="2" ht="94.5" customHeight="1" s="57">
      <c r="A2" s="70" t="inlineStr">
        <is>
          <t>Sigils curves can be linear, log or sqrt. Effect at N souls = base_coeff × curve(N). #32 Semet unlocks at all sins ≥2.
The values of log and sqrt curves apply as a percentage increase or decrease, linear curves apply as a flat increase .</t>
        </is>
      </c>
    </row>
    <row r="3" ht="15" customHeight="1" s="57">
      <c r="A3" s="71" t="n"/>
      <c r="B3" s="71" t="n"/>
      <c r="C3" s="71" t="n"/>
      <c r="D3" s="71" t="n"/>
      <c r="E3" s="71" t="n"/>
      <c r="F3" s="71" t="n"/>
      <c r="G3" s="71" t="n"/>
      <c r="H3" s="71" t="n"/>
    </row>
    <row r="4" ht="15" customHeight="1" s="57">
      <c r="A4" s="58" t="inlineStr">
        <is>
          <t>#</t>
        </is>
      </c>
      <c r="B4" s="58" t="inlineStr">
        <is>
          <t>Sigil</t>
        </is>
      </c>
      <c r="C4" s="58" t="inlineStr">
        <is>
          <t>Demonological role</t>
        </is>
      </c>
      <c r="D4" s="58" t="inlineStr">
        <is>
          <t>In-game effect</t>
        </is>
      </c>
      <c r="E4" s="58" t="inlineStr">
        <is>
          <t>Curve</t>
        </is>
      </c>
      <c r="F4" s="58" t="inlineStr">
        <is>
          <t>Base coeff</t>
        </is>
      </c>
      <c r="G4" s="58" t="inlineStr">
        <is>
          <t>Sample N</t>
        </is>
      </c>
      <c r="H4" s="58" t="inlineStr">
        <is>
          <t>Yield @ N</t>
        </is>
      </c>
    </row>
    <row r="5" ht="15" customHeight="1" s="57">
      <c r="A5" s="61" t="n">
        <v>1</v>
      </c>
      <c r="B5" s="64" t="inlineStr">
        <is>
          <t>Bael</t>
        </is>
      </c>
      <c r="C5" s="67" t="inlineStr">
        <is>
          <t>Changeling; invisibility</t>
        </is>
      </c>
      <c r="D5" s="72" t="inlineStr">
        <is>
          <t>-Opera negative outcome chance</t>
        </is>
      </c>
      <c r="E5" s="61" t="inlineStr">
        <is>
          <t>sqrt</t>
        </is>
      </c>
      <c r="F5" s="73">
        <f>0.0001*Globals!$B$21</f>
        <v/>
      </c>
      <c r="G5" s="60" t="n">
        <v>100000000</v>
      </c>
      <c r="H5" s="74">
        <f>IF(F5="","",F5*IF(E5="linear",G5,IF(E5="log",LN(G5+1),SQRT(G5))))</f>
        <v/>
      </c>
    </row>
    <row r="6" ht="15" customHeight="1" s="57">
      <c r="A6" s="61" t="n">
        <v>2</v>
      </c>
      <c r="B6" s="64" t="inlineStr">
        <is>
          <t>Agares</t>
        </is>
      </c>
      <c r="C6" s="67" t="inlineStr">
        <is>
          <t>Earthquakes; retrieval</t>
        </is>
      </c>
      <c r="D6" s="67" t="inlineStr">
        <is>
          <t xml:space="preserve"> +chance to duplicate output of Indagatio</t>
        </is>
      </c>
      <c r="E6" s="61" t="inlineStr">
        <is>
          <t>sqrt</t>
        </is>
      </c>
      <c r="F6" s="73">
        <f>0.0001*Globals!$B$21</f>
        <v/>
      </c>
      <c r="G6" s="60" t="n">
        <v>100</v>
      </c>
      <c r="H6" s="74">
        <f>IF(F6="","",F6*IF(E6="linear",G6,IF(E6="log",LN(G6+1),SQRT(G6))))</f>
        <v/>
      </c>
    </row>
    <row r="7" ht="15" customHeight="1" s="57">
      <c r="A7" s="61" t="n">
        <v>3</v>
      </c>
      <c r="B7" s="64" t="inlineStr">
        <is>
          <t>Vassago</t>
        </is>
      </c>
      <c r="C7" s="67" t="inlineStr">
        <is>
          <t>Foresees past/future</t>
        </is>
      </c>
      <c r="D7" s="75" t="inlineStr">
        <is>
          <t>+chance profane &amp; anathema maleficia</t>
        </is>
      </c>
      <c r="E7" s="61" t="inlineStr">
        <is>
          <t>sqrt</t>
        </is>
      </c>
      <c r="F7" s="73">
        <f>0.0001*Globals!$B$21</f>
        <v/>
      </c>
      <c r="G7" s="60" t="n">
        <v>100000</v>
      </c>
      <c r="H7" s="74">
        <f>IF(F7="","",F7*IF(E7="linear",G7,IF(E7="log",LN(G7+1),SQRT(G7))))</f>
        <v/>
      </c>
    </row>
    <row r="8" ht="15" customHeight="1" s="57">
      <c r="A8" s="61" t="n">
        <v>4</v>
      </c>
      <c r="B8" s="64" t="inlineStr">
        <is>
          <t>Samigina</t>
        </is>
      </c>
      <c r="C8" s="67" t="inlineStr">
        <is>
          <t>Accounts of the dead</t>
        </is>
      </c>
      <c r="D8" s="76" t="inlineStr">
        <is>
          <t>+Tristitia invocation effectiveness</t>
        </is>
      </c>
      <c r="E8" s="61" t="inlineStr">
        <is>
          <t>sqrt</t>
        </is>
      </c>
      <c r="F8" s="73">
        <f>0.0001*Globals!$B$21</f>
        <v/>
      </c>
      <c r="G8" s="60" t="n">
        <v>10000</v>
      </c>
      <c r="H8" s="74">
        <f>IF(F8="","",F8*IF(E8="linear",G8,IF(E8="log",LN(G8+1),SQRT(G8))))</f>
        <v/>
      </c>
    </row>
    <row r="9" ht="15" customHeight="1" s="57">
      <c r="A9" s="61" t="n">
        <v>5</v>
      </c>
      <c r="B9" s="64" t="inlineStr">
        <is>
          <t>Marbas</t>
        </is>
      </c>
      <c r="C9" s="67" t="inlineStr">
        <is>
          <t>Reveals secrets</t>
        </is>
      </c>
      <c r="D9" s="77" t="inlineStr">
        <is>
          <t>+Indagatio postitive outcome chance</t>
        </is>
      </c>
      <c r="E9" s="61" t="inlineStr">
        <is>
          <t>sqrt</t>
        </is>
      </c>
      <c r="F9" s="73">
        <f>0.0001*Globals!$B$21</f>
        <v/>
      </c>
      <c r="G9" s="60" t="n">
        <v>100000</v>
      </c>
      <c r="H9" s="74">
        <f>IF(F9="","",F9*IF(E9="linear",G9,IF(E9="log",LN(G9+1),SQRT(G9))))</f>
        <v/>
      </c>
    </row>
    <row r="10" ht="15" customHeight="1" s="57">
      <c r="A10" s="61" t="n">
        <v>6</v>
      </c>
      <c r="B10" s="64" t="inlineStr">
        <is>
          <t>Valefor</t>
        </is>
      </c>
      <c r="C10" s="67" t="inlineStr">
        <is>
          <t>Thievery</t>
        </is>
      </c>
      <c r="D10" s="78" t="inlineStr">
        <is>
          <t>+online gold gain rate</t>
        </is>
      </c>
      <c r="E10" s="61" t="inlineStr">
        <is>
          <t>sqrt</t>
        </is>
      </c>
      <c r="F10" s="73">
        <f>0.0001*Globals!$B$21</f>
        <v/>
      </c>
      <c r="G10" s="60" t="n">
        <v>100000000</v>
      </c>
      <c r="H10" s="74">
        <f>IF(F10="","",F10*IF(E10="linear",G10,IF(E10="log",LN(G10+1),SQRT(G10))))</f>
        <v/>
      </c>
    </row>
    <row r="11" ht="15" customHeight="1" s="57">
      <c r="A11" s="61" t="n">
        <v>7</v>
      </c>
      <c r="B11" s="64" t="inlineStr">
        <is>
          <t>Aamon</t>
        </is>
      </c>
      <c r="C11" s="67" t="inlineStr">
        <is>
          <t>Reproduction/life</t>
        </is>
      </c>
      <c r="D11" s="79" t="inlineStr">
        <is>
          <t>+ online reprobate generation rate</t>
        </is>
      </c>
      <c r="E11" s="61" t="inlineStr">
        <is>
          <t>sqrt</t>
        </is>
      </c>
      <c r="F11" s="73">
        <f>0.0001*Globals!$B$21</f>
        <v/>
      </c>
      <c r="G11" s="60" t="n">
        <v>100</v>
      </c>
      <c r="H11" s="74">
        <f>IF(F11="","",F11*IF(E11="linear",G11,IF(E11="log",LN(G11+1),SQRT(G11))))</f>
        <v/>
      </c>
    </row>
    <row r="12" ht="15" customHeight="1" s="57">
      <c r="A12" s="61" t="n">
        <v>8</v>
      </c>
      <c r="B12" s="64" t="inlineStr">
        <is>
          <t>Barbatos</t>
        </is>
      </c>
      <c r="C12" s="67" t="inlineStr">
        <is>
          <t>Songs of animals</t>
        </is>
      </c>
      <c r="D12" s="76" t="inlineStr">
        <is>
          <t>+Gula invocation effectiveness</t>
        </is>
      </c>
      <c r="E12" s="61" t="inlineStr">
        <is>
          <t>sqrt</t>
        </is>
      </c>
      <c r="F12" s="73">
        <f>0.0001*Globals!$B$21</f>
        <v/>
      </c>
      <c r="G12" s="60" t="n">
        <v>100</v>
      </c>
      <c r="H12" s="74">
        <f>IF(F12="","",F12*IF(E12="linear",G12,IF(E12="log",LN(G12+1),SQRT(G12))))</f>
        <v/>
      </c>
    </row>
    <row r="13" ht="15" customHeight="1" s="57">
      <c r="A13" s="61" t="n">
        <v>9</v>
      </c>
      <c r="B13" s="64" t="inlineStr">
        <is>
          <t>Paimon</t>
        </is>
      </c>
      <c r="C13" s="67" t="inlineStr">
        <is>
          <t>Loyalty; returning servants</t>
        </is>
      </c>
      <c r="D13" s="80" t="inlineStr">
        <is>
          <t>-influence costs</t>
        </is>
      </c>
      <c r="E13" s="61" t="inlineStr">
        <is>
          <t>sqrt</t>
        </is>
      </c>
      <c r="F13" s="73">
        <f>0.00005*Globals!$B$21</f>
        <v/>
      </c>
      <c r="G13" s="60" t="n">
        <v>100000000</v>
      </c>
      <c r="H13" s="74">
        <f>IF(F13="","",F13*IF(E13="linear",G13,IF(E13="log",LN(G13+1),SQRT(G13))))</f>
        <v/>
      </c>
    </row>
    <row r="14" ht="15" customHeight="1" s="57">
      <c r="A14" s="61" t="n">
        <v>10</v>
      </c>
      <c r="B14" s="64" t="inlineStr">
        <is>
          <t>Buer</t>
        </is>
      </c>
      <c r="C14" s="67" t="inlineStr">
        <is>
          <t>Good familiars</t>
        </is>
      </c>
      <c r="D14" s="76" t="inlineStr">
        <is>
          <t>+familiar effectiveness</t>
        </is>
      </c>
      <c r="E14" s="61" t="inlineStr">
        <is>
          <t>sqrt</t>
        </is>
      </c>
      <c r="F14" s="73">
        <f>0.0001*Globals!$B$21</f>
        <v/>
      </c>
      <c r="G14" s="60" t="n">
        <v>100</v>
      </c>
      <c r="H14" s="74">
        <f>IF(F14="","",F14*IF(E14="linear",G14,IF(E14="log",LN(G14+1),SQRT(G14))))</f>
        <v/>
      </c>
    </row>
    <row r="15" ht="23.25" customHeight="1" s="57">
      <c r="A15" s="61" t="n">
        <v>11</v>
      </c>
      <c r="B15" s="64" t="inlineStr">
        <is>
          <t>Gusion</t>
        </is>
      </c>
      <c r="C15" s="67" t="inlineStr">
        <is>
          <t>Reconciles enemies</t>
        </is>
      </c>
      <c r="D15" s="67" t="inlineStr">
        <is>
          <t>+Vitium Compositum effects (does not affect gold and influence outcomes)</t>
        </is>
      </c>
      <c r="E15" s="61" t="inlineStr">
        <is>
          <t>sqrt</t>
        </is>
      </c>
      <c r="F15" s="73">
        <f>0.0001*Globals!$B$21</f>
        <v/>
      </c>
      <c r="G15" s="60" t="n">
        <v>100</v>
      </c>
      <c r="H15" s="74">
        <f>IF(F15="","",F15*IF(E15="linear",G15,IF(E15="log",LN(G15+1),SQRT(G15))))</f>
        <v/>
      </c>
    </row>
    <row r="16" ht="15" customHeight="1" s="57">
      <c r="A16" s="61" t="n">
        <v>12</v>
      </c>
      <c r="B16" s="64" t="inlineStr">
        <is>
          <t>Sitri</t>
        </is>
      </c>
      <c r="C16" s="67" t="inlineStr">
        <is>
          <t>Love</t>
        </is>
      </c>
      <c r="D16" s="79" t="inlineStr">
        <is>
          <t>+Vitium Mercatura reprobate generation rate</t>
        </is>
      </c>
      <c r="E16" s="61" t="inlineStr">
        <is>
          <t>sqrt</t>
        </is>
      </c>
      <c r="F16" s="73">
        <f>0.0001*Globals!$B$21</f>
        <v/>
      </c>
      <c r="G16" s="60" t="n">
        <v>100000</v>
      </c>
      <c r="H16" s="74">
        <f>IF(F16="","",F16*IF(E16="linear",G16,IF(E16="log",LN(G16+1),SQRT(G16))))</f>
        <v/>
      </c>
    </row>
    <row r="17" ht="15" customHeight="1" s="57">
      <c r="A17" s="61" t="n">
        <v>13</v>
      </c>
      <c r="B17" s="64" t="inlineStr">
        <is>
          <t>Beleth</t>
        </is>
      </c>
      <c r="C17" s="67" t="inlineStr">
        <is>
          <t>Attended by trumpets</t>
        </is>
      </c>
      <c r="D17" s="77" t="inlineStr">
        <is>
          <t>+Decimatio positive outcome chance</t>
        </is>
      </c>
      <c r="E17" s="61" t="inlineStr">
        <is>
          <t>sqrt</t>
        </is>
      </c>
      <c r="F17" s="73">
        <f>0.0001*Globals!$B$21</f>
        <v/>
      </c>
      <c r="G17" s="60" t="n">
        <v>100</v>
      </c>
      <c r="H17" s="74">
        <f>IF(F17="","",F17*IF(E17="linear",G17,IF(E17="log",LN(G17+1),SQRT(G17))))</f>
        <v/>
      </c>
    </row>
    <row r="18" ht="15" customHeight="1" s="57">
      <c r="A18" s="61" t="n">
        <v>14</v>
      </c>
      <c r="B18" s="64" t="inlineStr">
        <is>
          <t>Leraie</t>
        </is>
      </c>
      <c r="C18" s="67" t="inlineStr">
        <is>
          <t>Putrefies wounds</t>
        </is>
      </c>
      <c r="D18" s="67" t="inlineStr">
        <is>
          <t>+chance a murder triggers a suicide</t>
        </is>
      </c>
      <c r="E18" s="61" t="inlineStr">
        <is>
          <t>sqrt</t>
        </is>
      </c>
      <c r="F18" s="73">
        <f>0.0001*Globals!$B$21</f>
        <v/>
      </c>
      <c r="G18" s="60" t="n">
        <v>100</v>
      </c>
      <c r="H18" s="74">
        <f>IF(F18="","",F18*IF(E18="linear",G18,IF(E18="log",LN(G18+1),SQRT(G18))))</f>
        <v/>
      </c>
    </row>
    <row r="19" ht="15" customHeight="1" s="57">
      <c r="A19" s="61" t="n">
        <v>15</v>
      </c>
      <c r="B19" s="64" t="inlineStr">
        <is>
          <t>Eligos</t>
        </is>
      </c>
      <c r="C19" s="67" t="inlineStr">
        <is>
          <t>Favour of important people</t>
        </is>
      </c>
      <c r="D19" s="80" t="inlineStr">
        <is>
          <t>+offline influence gain rate</t>
        </is>
      </c>
      <c r="E19" s="61" t="inlineStr">
        <is>
          <t>sqrt</t>
        </is>
      </c>
      <c r="F19" s="73">
        <f>0.0001*Globals!$B$21</f>
        <v/>
      </c>
      <c r="G19" s="60" t="n">
        <v>100</v>
      </c>
      <c r="H19" s="74">
        <f>IF(F19="","",F19*IF(E19="linear",G19,IF(E19="log",LN(G19+1),SQRT(G19))))</f>
        <v/>
      </c>
    </row>
    <row r="20" ht="15" customHeight="1" s="57">
      <c r="A20" s="61" t="n">
        <v>16</v>
      </c>
      <c r="B20" s="64" t="inlineStr">
        <is>
          <t>Zepar</t>
        </is>
      </c>
      <c r="C20" s="67" t="inlineStr">
        <is>
          <t>Makes women barren</t>
        </is>
      </c>
      <c r="D20" s="79" t="inlineStr">
        <is>
          <t>+offline reprobate generation rate</t>
        </is>
      </c>
      <c r="E20" s="61" t="inlineStr">
        <is>
          <t>sqrt</t>
        </is>
      </c>
      <c r="F20" s="73">
        <f>0.0001*Globals!$B$21</f>
        <v/>
      </c>
      <c r="G20" s="60" t="n">
        <v>100</v>
      </c>
      <c r="H20" s="74">
        <f>IF(F20="","",F20*IF(E20="linear",G20,IF(E20="log",LN(G20+1),SQRT(G20))))</f>
        <v/>
      </c>
    </row>
    <row r="21" ht="15" customHeight="1" s="57">
      <c r="A21" s="61" t="n">
        <v>17</v>
      </c>
      <c r="B21" s="64" t="inlineStr">
        <is>
          <t>Botis</t>
        </is>
      </c>
      <c r="C21" s="67" t="inlineStr">
        <is>
          <t>Past and future</t>
        </is>
      </c>
      <c r="D21" s="81" t="inlineStr">
        <is>
          <t>-Logos negative outcome chance</t>
        </is>
      </c>
      <c r="E21" s="61" t="inlineStr">
        <is>
          <t>sqrt</t>
        </is>
      </c>
      <c r="F21" s="73">
        <f>0.0001*Globals!$B$21</f>
        <v/>
      </c>
      <c r="G21" s="60" t="n">
        <v>100</v>
      </c>
      <c r="H21" s="74">
        <f>IF(F21="","",F21*IF(E21="linear",G21,IF(E21="log",LN(G21+1),SQRT(G21))))</f>
        <v/>
      </c>
    </row>
    <row r="22" ht="15" customHeight="1" s="57">
      <c r="A22" s="61" t="n">
        <v>18</v>
      </c>
      <c r="B22" s="64" t="inlineStr">
        <is>
          <t>Bathin</t>
        </is>
      </c>
      <c r="C22" s="67" t="inlineStr">
        <is>
          <t>Transport</t>
        </is>
      </c>
      <c r="D22" s="67" t="inlineStr">
        <is>
          <t>+acolyte action efficiency</t>
        </is>
      </c>
      <c r="E22" s="61" t="inlineStr">
        <is>
          <t>sqrt</t>
        </is>
      </c>
      <c r="F22" s="73">
        <f>0.0001*Globals!$B$21</f>
        <v/>
      </c>
      <c r="G22" s="60" t="n">
        <v>100</v>
      </c>
      <c r="H22" s="74">
        <f>IF(F22="","",F22*IF(E22="linear",G22,IF(E22="log",LN(G22+1),SQRT(G22))))</f>
        <v/>
      </c>
    </row>
    <row r="23" ht="15" customHeight="1" s="57">
      <c r="A23" s="61" t="n">
        <v>19</v>
      </c>
      <c r="B23" s="64" t="inlineStr">
        <is>
          <t>Sallos</t>
        </is>
      </c>
      <c r="C23" s="67" t="inlineStr">
        <is>
          <t>Peace, idleness</t>
        </is>
      </c>
      <c r="D23" s="78" t="inlineStr">
        <is>
          <t>+offline gold gain rate</t>
        </is>
      </c>
      <c r="E23" s="61" t="inlineStr">
        <is>
          <t>sqrt</t>
        </is>
      </c>
      <c r="F23" s="73">
        <f>0.0001*Globals!$B$21</f>
        <v/>
      </c>
      <c r="G23" s="60" t="n">
        <v>100</v>
      </c>
      <c r="H23" s="74">
        <f>IF(F23="","",F23*IF(E23="linear",G23,IF(E23="log",LN(G23+1),SQRT(G23))))</f>
        <v/>
      </c>
    </row>
    <row r="24" ht="15" customHeight="1" s="57">
      <c r="A24" s="61" t="n">
        <v>20</v>
      </c>
      <c r="B24" s="64" t="inlineStr">
        <is>
          <t>Purson</t>
        </is>
      </c>
      <c r="C24" s="67" t="inlineStr">
        <is>
          <t>Hidden treasures</t>
        </is>
      </c>
      <c r="D24" s="82" t="inlineStr">
        <is>
          <t>+remaining gold % (flat)</t>
        </is>
      </c>
      <c r="E24" s="61" t="inlineStr">
        <is>
          <t>log</t>
        </is>
      </c>
      <c r="F24" s="73" t="n">
        <v>1</v>
      </c>
      <c r="G24" s="60" t="n">
        <v>100000000</v>
      </c>
      <c r="H24" s="61">
        <f>IF(F24="","",F24*IF(E24="linear",G24,IF(E24="log",LN(G24+1),SQRT(G24))))</f>
        <v/>
      </c>
    </row>
    <row r="25" ht="15" customHeight="1" s="57">
      <c r="A25" s="61" t="n">
        <v>21</v>
      </c>
      <c r="B25" s="64" t="inlineStr">
        <is>
          <t>Marax</t>
        </is>
      </c>
      <c r="C25" s="67" t="inlineStr">
        <is>
          <t>Stops, delays</t>
        </is>
      </c>
      <c r="D25" s="67" t="inlineStr">
        <is>
          <t>+offline action efficiency</t>
        </is>
      </c>
      <c r="E25" s="61" t="inlineStr">
        <is>
          <t>sqrt</t>
        </is>
      </c>
      <c r="F25" s="73">
        <f>0.0001*Globals!$B$21</f>
        <v/>
      </c>
      <c r="G25" s="60" t="n">
        <v>100</v>
      </c>
      <c r="H25" s="74">
        <f>IF(F25="","",F25*IF(E25="linear",G25,IF(E25="log",LN(G25+1),SQRT(G25))))</f>
        <v/>
      </c>
    </row>
    <row r="26" ht="15" customHeight="1" s="57">
      <c r="A26" s="61" t="n">
        <v>22</v>
      </c>
      <c r="B26" s="64" t="inlineStr">
        <is>
          <t>Ipos</t>
        </is>
      </c>
      <c r="C26" s="67" t="inlineStr">
        <is>
          <t>Valiant, tactical</t>
        </is>
      </c>
      <c r="D26" s="81" t="inlineStr">
        <is>
          <t>-Decimatio negative outcome chance</t>
        </is>
      </c>
      <c r="E26" s="61" t="inlineStr">
        <is>
          <t>sqrt</t>
        </is>
      </c>
      <c r="F26" s="73">
        <f>0.0001*Globals!$B$21</f>
        <v/>
      </c>
      <c r="G26" s="60" t="n">
        <v>100</v>
      </c>
      <c r="H26" s="74">
        <f>IF(F26="","",F26*IF(E26="linear",G26,IF(E26="log",LN(G26+1),SQRT(G26))))</f>
        <v/>
      </c>
    </row>
    <row r="27" ht="15" customHeight="1" s="57">
      <c r="A27" s="61" t="n">
        <v>23</v>
      </c>
      <c r="B27" s="64" t="inlineStr">
        <is>
          <t>Aim</t>
        </is>
      </c>
      <c r="C27" s="67" t="inlineStr">
        <is>
          <t>Sets fire</t>
        </is>
      </c>
      <c r="D27" s="83" t="inlineStr">
        <is>
          <t>+Murder rate</t>
        </is>
      </c>
      <c r="E27" s="61" t="inlineStr">
        <is>
          <t>sqrt</t>
        </is>
      </c>
      <c r="F27" s="73">
        <f>0.0001*Globals!$B$21</f>
        <v/>
      </c>
      <c r="G27" s="60" t="n">
        <v>100</v>
      </c>
      <c r="H27" s="74">
        <f>IF(F27="","",F27*IF(E27="linear",G27,IF(E27="log",LN(G27+1),SQRT(G27))))</f>
        <v/>
      </c>
    </row>
    <row r="28" ht="15" customHeight="1" s="57">
      <c r="A28" s="61" t="n">
        <v>24</v>
      </c>
      <c r="B28" s="64" t="inlineStr">
        <is>
          <t>Naberius</t>
        </is>
      </c>
      <c r="C28" s="67" t="inlineStr">
        <is>
          <t>Arts &amp; rhetoric</t>
        </is>
      </c>
      <c r="D28" s="84" t="inlineStr">
        <is>
          <t>+Vitium Compositum effects</t>
        </is>
      </c>
      <c r="E28" s="61" t="inlineStr">
        <is>
          <t>sqrt</t>
        </is>
      </c>
      <c r="F28" s="73">
        <f>0.0001*Globals!$B$21</f>
        <v/>
      </c>
      <c r="G28" s="60" t="n">
        <v>100</v>
      </c>
      <c r="H28" s="74">
        <f>IF(F28="","",F28*IF(E28="linear",G28,IF(E28="log",LN(G28+1),SQRT(G28))))</f>
        <v/>
      </c>
    </row>
    <row r="29" ht="15" customHeight="1" s="57">
      <c r="A29" s="61" t="n">
        <v>25</v>
      </c>
      <c r="B29" s="64" t="inlineStr">
        <is>
          <t>Glasya-Labolas</t>
        </is>
      </c>
      <c r="C29" s="67" t="inlineStr">
        <is>
          <t>Manslaughter</t>
        </is>
      </c>
      <c r="D29" s="83" t="inlineStr">
        <is>
          <t>+Murder rate (flat)</t>
        </is>
      </c>
      <c r="E29" s="61" t="inlineStr">
        <is>
          <t>log</t>
        </is>
      </c>
      <c r="F29" s="73" t="n">
        <v>0.001</v>
      </c>
      <c r="G29" s="60" t="n">
        <v>100000</v>
      </c>
      <c r="H29" s="61">
        <f>IF(F29="","",F29*IF(E29="linear",G29,IF(E29="log",LN(G29+1),SQRT(G29))))</f>
        <v/>
      </c>
    </row>
    <row r="30" ht="15" customHeight="1" s="57">
      <c r="A30" s="61" t="n">
        <v>26</v>
      </c>
      <c r="B30" s="64" t="inlineStr">
        <is>
          <t>Bune</t>
        </is>
      </c>
      <c r="C30" s="67" t="inlineStr">
        <is>
          <t>Wisdom</t>
        </is>
      </c>
      <c r="D30" s="76" t="inlineStr">
        <is>
          <t>+Vanagloria invocation effectiveness</t>
        </is>
      </c>
      <c r="E30" s="61" t="inlineStr">
        <is>
          <t>sqrt</t>
        </is>
      </c>
      <c r="F30" s="73">
        <f>0.0001*Globals!$B$21</f>
        <v/>
      </c>
      <c r="G30" s="60" t="n">
        <v>1000</v>
      </c>
      <c r="H30" s="74">
        <f>IF(F30="","",F30*IF(E30="linear",G30,IF(E30="log",LN(G30+1),SQRT(G30))))</f>
        <v/>
      </c>
    </row>
    <row r="31" ht="15" customHeight="1" s="57">
      <c r="A31" s="61" t="n">
        <v>27</v>
      </c>
      <c r="B31" s="64" t="inlineStr">
        <is>
          <t>Ronove</t>
        </is>
      </c>
      <c r="C31" s="67" t="inlineStr">
        <is>
          <t>Harvests souls near death</t>
        </is>
      </c>
      <c r="D31" s="83" t="inlineStr">
        <is>
          <t>+Suicide rate</t>
        </is>
      </c>
      <c r="E31" s="61" t="inlineStr">
        <is>
          <t>sqrt</t>
        </is>
      </c>
      <c r="F31" s="73" t="n">
        <v>0.0001</v>
      </c>
      <c r="G31" s="60" t="n">
        <v>100</v>
      </c>
      <c r="H31" s="74">
        <f>IF(F31="","",F31*IF(E31="linear",G31,IF(E31="log",LN(G31+1),SQRT(G31))))</f>
        <v/>
      </c>
    </row>
    <row r="32" ht="15" customHeight="1" s="57">
      <c r="A32" s="61" t="n">
        <v>28</v>
      </c>
      <c r="B32" s="64" t="inlineStr">
        <is>
          <t>Berith</t>
        </is>
      </c>
      <c r="C32" s="67" t="inlineStr">
        <is>
          <t>Covenant</t>
        </is>
      </c>
      <c r="D32" s="76" t="inlineStr">
        <is>
          <t>+Superbia invocation effectiveness</t>
        </is>
      </c>
      <c r="E32" s="61" t="inlineStr">
        <is>
          <t>sqrt</t>
        </is>
      </c>
      <c r="F32" s="73" t="n">
        <v>0.0001</v>
      </c>
      <c r="G32" s="60" t="n">
        <v>100</v>
      </c>
      <c r="H32" s="74">
        <f>IF(F32="","",F32*IF(E32="linear",G32,IF(E32="log",LN(G32+1),SQRT(G32))))</f>
        <v/>
      </c>
    </row>
    <row r="33" ht="15" customHeight="1" s="57">
      <c r="A33" s="61" t="n">
        <v>29</v>
      </c>
      <c r="B33" s="64" t="inlineStr">
        <is>
          <t>Astaroth</t>
        </is>
      </c>
      <c r="C33" s="67" t="inlineStr">
        <is>
          <t>Secrets, all times</t>
        </is>
      </c>
      <c r="D33" s="85" t="inlineStr">
        <is>
          <t>+Stellar chance for Indagatio</t>
        </is>
      </c>
      <c r="E33" s="61" t="inlineStr">
        <is>
          <t>sqrt</t>
        </is>
      </c>
      <c r="F33" s="73" t="n">
        <v>0.0001</v>
      </c>
      <c r="G33" s="60" t="n">
        <v>100</v>
      </c>
      <c r="H33" s="74">
        <f>IF(F33="","",F33*IF(E33="linear",G33,IF(E33="log",LN(G33+1),SQRT(G33))))</f>
        <v/>
      </c>
    </row>
    <row r="34" ht="15" customHeight="1" s="57">
      <c r="A34" s="61" t="n">
        <v>30</v>
      </c>
      <c r="B34" s="64" t="inlineStr">
        <is>
          <t>Forneus</t>
        </is>
      </c>
      <c r="C34" s="67" t="inlineStr">
        <is>
          <t>Rhetoric</t>
        </is>
      </c>
      <c r="D34" s="76" t="inlineStr">
        <is>
          <t>+invoking power (flat)</t>
        </is>
      </c>
      <c r="E34" s="61" t="inlineStr">
        <is>
          <t>log</t>
        </is>
      </c>
      <c r="F34" s="86">
        <f>0.5*Globals!$B$21</f>
        <v/>
      </c>
      <c r="G34" s="60" t="n">
        <v>100000000</v>
      </c>
      <c r="H34" s="61">
        <f>IF(F34="","",F34*IF(E34="linear",G34,IF(E34="log",LN(G34+1),SQRT(G34))))</f>
        <v/>
      </c>
    </row>
    <row r="35" ht="15" customHeight="1" s="57">
      <c r="A35" s="61" t="n">
        <v>31</v>
      </c>
      <c r="B35" s="64" t="inlineStr">
        <is>
          <t>Foras</t>
        </is>
      </c>
      <c r="C35" s="67" t="inlineStr">
        <is>
          <t>Logic, invisibility</t>
        </is>
      </c>
      <c r="D35" s="67" t="inlineStr">
        <is>
          <t>+offline accrual window</t>
        </is>
      </c>
      <c r="E35" s="61" t="inlineStr">
        <is>
          <t>sqrt</t>
        </is>
      </c>
      <c r="F35" s="73" t="n">
        <v>2.5e-05</v>
      </c>
      <c r="G35" s="60" t="n">
        <v>100000000</v>
      </c>
      <c r="H35" s="74">
        <f>IF(F35="","",F35*IF(E35="linear",G35,IF(E35="log",LN(G35+1),SQRT(G35))))</f>
        <v/>
      </c>
    </row>
    <row r="36" ht="15" customHeight="1" s="57">
      <c r="A36" s="61" t="n">
        <v>32</v>
      </c>
      <c r="B36" s="64" t="inlineStr">
        <is>
          <t>Semet</t>
        </is>
      </c>
      <c r="C36" s="67" t="inlineStr">
        <is>
          <t>Final destiny</t>
        </is>
      </c>
      <c r="D36" s="67" t="inlineStr">
        <is>
          <t>+sigil effect %</t>
        </is>
      </c>
      <c r="E36" s="61" t="inlineStr">
        <is>
          <t>log</t>
        </is>
      </c>
      <c r="F36" s="87">
        <f>0.01*Globals!$B$21</f>
        <v/>
      </c>
      <c r="G36" s="60" t="n">
        <v>5832000</v>
      </c>
      <c r="H36" s="74">
        <f>IF(F36="","",F36*IF(E36="linear",G36,IF(E36="log",LN(G36+1),SQRT(G36))))</f>
        <v/>
      </c>
    </row>
    <row r="37" ht="15" customHeight="1" s="57">
      <c r="A37" s="61" t="n">
        <v>33</v>
      </c>
      <c r="B37" s="64" t="inlineStr">
        <is>
          <t>Gaap</t>
        </is>
      </c>
      <c r="C37" s="67" t="inlineStr">
        <is>
          <t>Makes men stupid</t>
        </is>
      </c>
      <c r="D37" s="67" t="inlineStr">
        <is>
          <t>+maleficia effect %</t>
        </is>
      </c>
      <c r="E37" s="61" t="inlineStr">
        <is>
          <t>log</t>
        </is>
      </c>
      <c r="F37" s="87">
        <f>0.01*Globals!$B$21</f>
        <v/>
      </c>
      <c r="G37" s="60" t="n">
        <v>100000000</v>
      </c>
      <c r="H37" s="74">
        <f>IF(F37="","",F37*IF(E37="linear",G37,IF(E37="log",LN(G37+1),SQRT(G37))))</f>
        <v/>
      </c>
    </row>
    <row r="38" ht="15" customHeight="1" s="57">
      <c r="A38" s="61" t="n">
        <v>34</v>
      </c>
      <c r="B38" s="64" t="inlineStr">
        <is>
          <t>Furfur</t>
        </is>
      </c>
      <c r="C38" s="67" t="inlineStr">
        <is>
          <t>Love; storms</t>
        </is>
      </c>
      <c r="D38" s="76" t="inlineStr">
        <is>
          <t>+Luxuria invocation effectiveness</t>
        </is>
      </c>
      <c r="E38" s="61" t="inlineStr">
        <is>
          <t>sqrt</t>
        </is>
      </c>
      <c r="F38" s="73" t="n">
        <v>0.0001</v>
      </c>
      <c r="G38" s="60" t="n">
        <v>100000</v>
      </c>
      <c r="H38" s="74">
        <f>IF(F38="","",F38*IF(E38="linear",G38,IF(E38="log",LN(G38+1),SQRT(G38))))</f>
        <v/>
      </c>
    </row>
    <row r="39" ht="15" customHeight="1" s="57">
      <c r="A39" s="61" t="n">
        <v>35</v>
      </c>
      <c r="B39" s="64" t="inlineStr">
        <is>
          <t>Marchosias</t>
        </is>
      </c>
      <c r="C39" s="67" t="inlineStr">
        <is>
          <t>Faithful follower</t>
        </is>
      </c>
      <c r="D39" s="80" t="inlineStr">
        <is>
          <t>+max influence</t>
        </is>
      </c>
      <c r="E39" s="61" t="inlineStr">
        <is>
          <t>sqrt</t>
        </is>
      </c>
      <c r="F39" s="73" t="n">
        <v>0.0001</v>
      </c>
      <c r="G39" s="60" t="n">
        <v>100</v>
      </c>
      <c r="H39" s="74">
        <f>IF(F39="","",F39*IF(E39="linear",G39,IF(E39="log",LN(G39+1),SQRT(G39))))</f>
        <v/>
      </c>
    </row>
    <row r="40" ht="15" customHeight="1" s="57">
      <c r="A40" s="61" t="n">
        <v>36</v>
      </c>
      <c r="B40" s="64" t="inlineStr">
        <is>
          <t>Stolas</t>
        </is>
      </c>
      <c r="C40" s="67" t="inlineStr">
        <is>
          <t>Astronomy, herbs</t>
        </is>
      </c>
      <c r="D40" s="67" t="inlineStr">
        <is>
          <t>-chance Common maleficia in Indagatio</t>
        </is>
      </c>
      <c r="E40" s="61" t="inlineStr">
        <is>
          <t>sqrt</t>
        </is>
      </c>
      <c r="F40" s="73" t="n">
        <v>0.0001</v>
      </c>
      <c r="G40" s="60" t="n">
        <v>100</v>
      </c>
      <c r="H40" s="74">
        <f>IF(F40="","",F40*IF(E40="linear",G40,IF(E40="log",LN(G40+1),SQRT(G40))))</f>
        <v/>
      </c>
    </row>
    <row r="41" ht="15" customHeight="1" s="57">
      <c r="A41" s="61" t="n">
        <v>37</v>
      </c>
      <c r="B41" s="64" t="inlineStr">
        <is>
          <t>Phenex</t>
        </is>
      </c>
      <c r="C41" s="67" t="inlineStr">
        <is>
          <t>Phoenix; sings</t>
        </is>
      </c>
      <c r="D41" s="72" t="inlineStr">
        <is>
          <t>-Emptio negative outcome chance</t>
        </is>
      </c>
      <c r="E41" s="61" t="inlineStr">
        <is>
          <t>sqrt</t>
        </is>
      </c>
      <c r="F41" s="73" t="n">
        <v>0.0001</v>
      </c>
      <c r="G41" s="60" t="n">
        <v>100</v>
      </c>
      <c r="H41" s="74">
        <f>IF(F41="","",F41*IF(E41="linear",G41,IF(E41="log",LN(G41+1),SQRT(G41))))</f>
        <v/>
      </c>
    </row>
    <row r="42" ht="15" customHeight="1" s="57">
      <c r="A42" s="61" t="n">
        <v>38</v>
      </c>
      <c r="B42" s="64" t="inlineStr">
        <is>
          <t>Halphas</t>
        </is>
      </c>
      <c r="C42" s="67" t="inlineStr">
        <is>
          <t>Builds towers/arms</t>
        </is>
      </c>
      <c r="D42" s="75" t="inlineStr">
        <is>
          <t>-chance common &amp; rare maleficia</t>
        </is>
      </c>
      <c r="E42" s="61" t="inlineStr">
        <is>
          <t>sqrt</t>
        </is>
      </c>
      <c r="F42" s="73" t="n">
        <v>0.0001</v>
      </c>
      <c r="G42" s="60" t="n">
        <v>100</v>
      </c>
      <c r="H42" s="74">
        <f>IF(F42="","",F42*IF(E42="linear",G42,IF(E42="log",LN(G42+1),SQRT(G42))))</f>
        <v/>
      </c>
    </row>
    <row r="43" ht="15" customHeight="1" s="57">
      <c r="A43" s="61" t="n">
        <v>39</v>
      </c>
      <c r="B43" s="64" t="inlineStr">
        <is>
          <t>Malphas</t>
        </is>
      </c>
      <c r="C43" s="67" t="inlineStr">
        <is>
          <t>Builds/demolishes; deceives</t>
        </is>
      </c>
      <c r="D43" s="67" t="inlineStr">
        <is>
          <t xml:space="preserve"> +chance to duplicate output of Logos</t>
        </is>
      </c>
      <c r="E43" s="61" t="inlineStr">
        <is>
          <t>sqrt</t>
        </is>
      </c>
      <c r="F43" s="73" t="n">
        <v>0.0001</v>
      </c>
      <c r="G43" s="60" t="n">
        <v>100</v>
      </c>
      <c r="H43" s="74">
        <f>IF(F43="","",F43*IF(E43="linear",G43,IF(E43="log",LN(G43+1),SQRT(G43))))</f>
        <v/>
      </c>
    </row>
    <row r="44" ht="15" customHeight="1" s="57">
      <c r="A44" s="61" t="n">
        <v>40</v>
      </c>
      <c r="B44" s="64" t="inlineStr">
        <is>
          <t>Raum</t>
        </is>
      </c>
      <c r="C44" s="67" t="inlineStr">
        <is>
          <t>Steals; destroys cities</t>
        </is>
      </c>
      <c r="D44" s="88" t="inlineStr">
        <is>
          <t>+Decimatio action efficiency</t>
        </is>
      </c>
      <c r="E44" s="61" t="inlineStr">
        <is>
          <t>sqrt</t>
        </is>
      </c>
      <c r="F44" s="73" t="n">
        <v>0.0001</v>
      </c>
      <c r="G44" s="60" t="n">
        <v>100</v>
      </c>
      <c r="H44" s="74">
        <f>IF(F44="","",F44*IF(E44="linear",G44,IF(E44="log",LN(G44+1),SQRT(G44))))</f>
        <v/>
      </c>
    </row>
    <row r="45" ht="15" customHeight="1" s="57">
      <c r="A45" s="61" t="n">
        <v>41</v>
      </c>
      <c r="B45" s="64" t="inlineStr">
        <is>
          <t>Focalor</t>
        </is>
      </c>
      <c r="C45" s="67" t="inlineStr">
        <is>
          <t>Kills by drowning</t>
        </is>
      </c>
      <c r="D45" s="67" t="inlineStr">
        <is>
          <t xml:space="preserve"> +chance to duplicate output of Decimatio</t>
        </is>
      </c>
      <c r="E45" s="61" t="inlineStr">
        <is>
          <t>sqrt</t>
        </is>
      </c>
      <c r="F45" s="73" t="n">
        <v>0.0001</v>
      </c>
      <c r="G45" s="60" t="n">
        <v>100</v>
      </c>
      <c r="H45" s="74">
        <f>IF(F45="","",F45*IF(E45="linear",G45,IF(E45="log",LN(G45+1),SQRT(G45))))</f>
        <v/>
      </c>
    </row>
    <row r="46" ht="15" customHeight="1" s="57">
      <c r="A46" s="61" t="n">
        <v>42</v>
      </c>
      <c r="B46" s="64" t="inlineStr">
        <is>
          <t>Vepar</t>
        </is>
      </c>
      <c r="C46" s="67" t="inlineStr">
        <is>
          <t>Putrefying wounds</t>
        </is>
      </c>
      <c r="D46" s="76" t="inlineStr">
        <is>
          <t>+Ira invocation effectiveness</t>
        </is>
      </c>
      <c r="E46" s="61" t="inlineStr">
        <is>
          <t>sqrt</t>
        </is>
      </c>
      <c r="F46" s="73" t="n">
        <v>0.0001</v>
      </c>
      <c r="G46" s="60" t="n">
        <v>100</v>
      </c>
      <c r="H46" s="74">
        <f>IF(F46="","",F46*IF(E46="linear",G46,IF(E46="log",LN(G46+1),SQRT(G46))))</f>
        <v/>
      </c>
    </row>
    <row r="47" ht="15" customHeight="1" s="57">
      <c r="A47" s="61" t="n">
        <v>43</v>
      </c>
      <c r="B47" s="64" t="inlineStr">
        <is>
          <t>Sabnock</t>
        </is>
      </c>
      <c r="C47" s="67" t="inlineStr">
        <is>
          <t>Wounds and sores</t>
        </is>
      </c>
      <c r="D47" s="83" t="inlineStr">
        <is>
          <t>+Suicide rate (flat)</t>
        </is>
      </c>
      <c r="E47" s="61" t="inlineStr">
        <is>
          <t>log</t>
        </is>
      </c>
      <c r="F47" s="73" t="n">
        <v>0.001</v>
      </c>
      <c r="G47" s="60" t="n">
        <v>100</v>
      </c>
      <c r="H47" s="74">
        <f>IF(F47="","",F47*IF(E47="linear",G47,IF(E47="log",LN(G47+1),SQRT(G47))))</f>
        <v/>
      </c>
    </row>
    <row r="48" ht="15" customHeight="1" s="57">
      <c r="A48" s="61" t="n">
        <v>44</v>
      </c>
      <c r="B48" s="64" t="inlineStr">
        <is>
          <t>Shax</t>
        </is>
      </c>
      <c r="C48" s="67" t="inlineStr">
        <is>
          <t>Deafness; takes money</t>
        </is>
      </c>
      <c r="D48" s="76" t="inlineStr">
        <is>
          <t>+Avaritia invocation effectiveness</t>
        </is>
      </c>
      <c r="E48" s="61" t="inlineStr">
        <is>
          <t>sqrt</t>
        </is>
      </c>
      <c r="F48" s="73" t="n">
        <v>0.0001</v>
      </c>
      <c r="G48" s="60" t="n">
        <v>100</v>
      </c>
      <c r="H48" s="74">
        <f>IF(F48="","",F48*IF(E48="linear",G48,IF(E48="log",LN(G48+1),SQRT(G48))))</f>
        <v/>
      </c>
    </row>
    <row r="49" ht="15" customHeight="1" s="57">
      <c r="A49" s="61" t="n">
        <v>45</v>
      </c>
      <c r="B49" s="64" t="inlineStr">
        <is>
          <t>Vine</t>
        </is>
      </c>
      <c r="C49" s="67" t="inlineStr">
        <is>
          <t>Reveals witches; walls</t>
        </is>
      </c>
      <c r="D49" s="78" t="inlineStr">
        <is>
          <t>+recovered gold on business shutdown</t>
        </is>
      </c>
      <c r="E49" s="61" t="inlineStr">
        <is>
          <t>sqrt</t>
        </is>
      </c>
      <c r="F49" s="73" t="n">
        <v>0.0001</v>
      </c>
      <c r="G49" s="60" t="n">
        <v>100</v>
      </c>
      <c r="H49" s="74">
        <f>IF(F49="","",F49*IF(E49="linear",G49,IF(E49="log",LN(G49+1),SQRT(G49))))</f>
        <v/>
      </c>
    </row>
    <row r="50" ht="15" customHeight="1" s="57">
      <c r="A50" s="61" t="n">
        <v>46</v>
      </c>
      <c r="B50" s="64" t="inlineStr">
        <is>
          <t>Bifrons</t>
        </is>
      </c>
      <c r="C50" s="67" t="inlineStr">
        <is>
          <t>Sciences, herbs</t>
        </is>
      </c>
      <c r="D50" s="88" t="inlineStr">
        <is>
          <t>+Indagatio action efficiency</t>
        </is>
      </c>
      <c r="E50" s="61" t="inlineStr">
        <is>
          <t>sqrt</t>
        </is>
      </c>
      <c r="F50" s="73" t="n">
        <v>0.0001</v>
      </c>
      <c r="G50" s="60" t="n">
        <v>100</v>
      </c>
      <c r="H50" s="74">
        <f>IF(F50="","",F50*IF(E50="linear",G50,IF(E50="log",LN(G50+1),SQRT(G50))))</f>
        <v/>
      </c>
    </row>
    <row r="51" ht="15" customHeight="1" s="57">
      <c r="A51" s="61" t="n">
        <v>47</v>
      </c>
      <c r="B51" s="64" t="inlineStr">
        <is>
          <t>Vual</t>
        </is>
      </c>
      <c r="C51" s="67" t="inlineStr">
        <is>
          <t>Love of women; all times</t>
        </is>
      </c>
      <c r="D51" s="85" t="inlineStr">
        <is>
          <t>+Stellar chance for Logos</t>
        </is>
      </c>
      <c r="E51" s="61" t="inlineStr">
        <is>
          <t>sqrt</t>
        </is>
      </c>
      <c r="F51" s="73" t="n">
        <v>0.0001</v>
      </c>
      <c r="G51" s="60" t="n">
        <v>100</v>
      </c>
      <c r="H51" s="74">
        <f>IF(F51="","",F51*IF(E51="linear",G51,IF(E51="log",LN(G51+1),SQRT(G51))))</f>
        <v/>
      </c>
    </row>
    <row r="52" ht="15" customHeight="1" s="57">
      <c r="A52" s="61" t="n">
        <v>48</v>
      </c>
      <c r="B52" s="64" t="inlineStr">
        <is>
          <t>Haagenti</t>
        </is>
      </c>
      <c r="C52" s="67" t="inlineStr">
        <is>
          <t>Metal to gold</t>
        </is>
      </c>
      <c r="D52" s="78" t="inlineStr">
        <is>
          <t>+gold / s (flat)</t>
        </is>
      </c>
      <c r="E52" s="61" t="inlineStr">
        <is>
          <t>log</t>
        </is>
      </c>
      <c r="F52" s="86">
        <f>3*Globals!$B$21</f>
        <v/>
      </c>
      <c r="G52" s="60" t="n">
        <v>100000000</v>
      </c>
      <c r="H52" s="61">
        <f>IF(F52="","",F52*IF(E52="linear",G52,IF(E52="log",LN(G52+1),SQRT(G52))))</f>
        <v/>
      </c>
    </row>
    <row r="53" ht="15" customHeight="1" s="57">
      <c r="A53" s="61" t="n">
        <v>49</v>
      </c>
      <c r="B53" s="64" t="inlineStr">
        <is>
          <t>Crocell</t>
        </is>
      </c>
      <c r="C53" s="67" t="inlineStr">
        <is>
          <t>Geometry; warms waters</t>
        </is>
      </c>
      <c r="D53" s="67" t="inlineStr">
        <is>
          <t>+chance Indagatio finds 2</t>
        </is>
      </c>
      <c r="E53" s="61" t="inlineStr">
        <is>
          <t>sqrt</t>
        </is>
      </c>
      <c r="F53" s="73" t="n">
        <v>0.0001</v>
      </c>
      <c r="G53" s="60" t="n">
        <v>100</v>
      </c>
      <c r="H53" s="74">
        <f>IF(F53="","",F53*IF(E53="linear",G53,IF(E53="log",LN(G53+1),SQRT(G53))))</f>
        <v/>
      </c>
    </row>
    <row r="54" ht="15" customHeight="1" s="57">
      <c r="A54" s="61" t="n">
        <v>50</v>
      </c>
      <c r="B54" s="64" t="inlineStr">
        <is>
          <t>Furcas</t>
        </is>
      </c>
      <c r="C54" s="67" t="inlineStr">
        <is>
          <t>Pyromancy</t>
        </is>
      </c>
      <c r="D54" s="78" t="inlineStr">
        <is>
          <t>+business shutdown gold recovery</t>
        </is>
      </c>
      <c r="E54" s="61" t="inlineStr">
        <is>
          <t>sqrt</t>
        </is>
      </c>
      <c r="F54" s="73" t="n">
        <v>0.0001</v>
      </c>
      <c r="G54" s="60" t="n">
        <v>10000000</v>
      </c>
      <c r="H54" s="74">
        <f>IF(F54="","",F54*IF(E54="linear",G54,IF(E54="log",LN(G54+1),SQRT(G54))))</f>
        <v/>
      </c>
    </row>
    <row r="55" ht="15" customHeight="1" s="57">
      <c r="A55" s="61" t="n">
        <v>51</v>
      </c>
      <c r="B55" s="64" t="inlineStr">
        <is>
          <t>Balam</t>
        </is>
      </c>
      <c r="C55" s="67" t="inlineStr">
        <is>
          <t>All times; invisibility</t>
        </is>
      </c>
      <c r="D55" s="81" t="inlineStr">
        <is>
          <t>-negative outcome chance (all Opera)</t>
        </is>
      </c>
      <c r="E55" s="61" t="inlineStr">
        <is>
          <t>sqrt</t>
        </is>
      </c>
      <c r="F55" s="73" t="n">
        <v>0.0001</v>
      </c>
      <c r="G55" s="60" t="n">
        <v>100</v>
      </c>
      <c r="H55" s="74">
        <f>IF(F55="","",F55*IF(E55="linear",G55,IF(E55="log",LN(G55+1),SQRT(G55))))</f>
        <v/>
      </c>
    </row>
    <row r="56" ht="15" customHeight="1" s="57">
      <c r="A56" s="61" t="n">
        <v>52</v>
      </c>
      <c r="B56" s="64" t="inlineStr">
        <is>
          <t>Alloces</t>
        </is>
      </c>
      <c r="C56" s="67" t="inlineStr">
        <is>
          <t>Astronomy; familiars</t>
        </is>
      </c>
      <c r="D56" s="76" t="inlineStr">
        <is>
          <t>+Acedia invocation effectiveness</t>
        </is>
      </c>
      <c r="E56" s="61" t="inlineStr">
        <is>
          <t>sqrt</t>
        </is>
      </c>
      <c r="F56" s="73" t="n">
        <v>0.0001</v>
      </c>
      <c r="G56" s="60" t="n">
        <v>100000000</v>
      </c>
      <c r="H56" s="74">
        <f>IF(F56="","",F56*IF(E56="linear",G56,IF(E56="log",LN(G56+1),SQRT(G56))))</f>
        <v/>
      </c>
    </row>
    <row r="57" ht="15" customHeight="1" s="57">
      <c r="A57" s="61" t="n">
        <v>53</v>
      </c>
      <c r="B57" s="64" t="inlineStr">
        <is>
          <t>Camio</t>
        </is>
      </c>
      <c r="C57" s="67" t="inlineStr">
        <is>
          <t>Disputation</t>
        </is>
      </c>
      <c r="D57" s="82" t="inlineStr">
        <is>
          <t>+remaining reprobate %</t>
        </is>
      </c>
      <c r="E57" s="61" t="inlineStr">
        <is>
          <t>log</t>
        </is>
      </c>
      <c r="F57" s="73" t="n">
        <v>1</v>
      </c>
      <c r="G57" s="60" t="n">
        <v>100</v>
      </c>
      <c r="H57" s="74">
        <f>IF(F57="","",F57*IF(E57="linear",G57,IF(E57="log",LN(G57+1),SQRT(G57))))</f>
        <v/>
      </c>
    </row>
    <row r="58" ht="15" customHeight="1" s="57">
      <c r="A58" s="61" t="n">
        <v>54</v>
      </c>
      <c r="B58" s="64" t="inlineStr">
        <is>
          <t>Murmur</t>
        </is>
      </c>
      <c r="C58" s="67" t="inlineStr">
        <is>
          <t>Summons dead souls</t>
        </is>
      </c>
      <c r="D58" s="76" t="inlineStr">
        <is>
          <t>+overall invocation effectiveness</t>
        </is>
      </c>
      <c r="E58" s="61" t="inlineStr">
        <is>
          <t>sqrt</t>
        </is>
      </c>
      <c r="F58" s="73" t="n">
        <v>0.0001</v>
      </c>
      <c r="G58" s="60" t="n">
        <v>100</v>
      </c>
      <c r="H58" s="74">
        <f>IF(F58="","",F58*IF(E58="linear",G58,IF(E58="log",LN(G58+1),SQRT(G58))))</f>
        <v/>
      </c>
    </row>
    <row r="59" ht="15" customHeight="1" s="57">
      <c r="A59" s="61" t="n">
        <v>55</v>
      </c>
      <c r="B59" s="64" t="inlineStr">
        <is>
          <t>Orobas</t>
        </is>
      </c>
      <c r="C59" s="67" t="inlineStr">
        <is>
          <t>Faithful; all times</t>
        </is>
      </c>
      <c r="D59" s="76" t="inlineStr">
        <is>
          <t>-cost of all invocations</t>
        </is>
      </c>
      <c r="E59" s="61" t="inlineStr">
        <is>
          <t>sqrt</t>
        </is>
      </c>
      <c r="F59" s="73" t="n">
        <v>0.0001</v>
      </c>
      <c r="G59" s="60" t="n">
        <v>100</v>
      </c>
      <c r="H59" s="74">
        <f>IF(F59="","",F59*IF(E59="linear",G59,IF(E59="log",LN(G59+1),SQRT(G59))))</f>
        <v/>
      </c>
    </row>
    <row r="60" ht="15" customHeight="1" s="57">
      <c r="A60" s="61" t="n">
        <v>56</v>
      </c>
      <c r="B60" s="64" t="inlineStr">
        <is>
          <t>Gremory</t>
        </is>
      </c>
      <c r="C60" s="67" t="inlineStr">
        <is>
          <t>Treasures; love</t>
        </is>
      </c>
      <c r="D60" s="77" t="inlineStr">
        <is>
          <t>+Logos positive outcome chance</t>
        </is>
      </c>
      <c r="E60" s="61" t="inlineStr">
        <is>
          <t>sqrt</t>
        </is>
      </c>
      <c r="F60" s="73" t="n">
        <v>0.0001</v>
      </c>
      <c r="G60" s="60" t="n">
        <v>100</v>
      </c>
      <c r="H60" s="74">
        <f>IF(F60="","",F60*IF(E60="linear",G60,IF(E60="log",LN(G60+1),SQRT(G60))))</f>
        <v/>
      </c>
    </row>
    <row r="61" ht="15" customHeight="1" s="57">
      <c r="A61" s="61" t="n">
        <v>57</v>
      </c>
      <c r="B61" s="64" t="inlineStr">
        <is>
          <t>Ose</t>
        </is>
      </c>
      <c r="C61" s="67" t="inlineStr">
        <is>
          <t>Changes shape</t>
        </is>
      </c>
      <c r="D61" s="79" t="inlineStr">
        <is>
          <t>+reprobate generation (flat)</t>
        </is>
      </c>
      <c r="E61" s="61" t="inlineStr">
        <is>
          <t>log</t>
        </is>
      </c>
      <c r="F61" s="86">
        <f>0.3*Globals!$B$21</f>
        <v/>
      </c>
      <c r="G61" s="60" t="n">
        <v>100</v>
      </c>
      <c r="H61" s="61">
        <f>IF(F61="","",F61*IF(E61="linear",G61,IF(E61="log",LN(G61+1),SQRT(G61))))</f>
        <v/>
      </c>
    </row>
    <row r="62" ht="15" customHeight="1" s="57">
      <c r="A62" s="61" t="n">
        <v>58</v>
      </c>
      <c r="B62" s="64" t="inlineStr">
        <is>
          <t>Amy</t>
        </is>
      </c>
      <c r="C62" s="67" t="inlineStr">
        <is>
          <t>Treasures</t>
        </is>
      </c>
      <c r="D62" s="88" t="inlineStr">
        <is>
          <t>-Indagatio &amp; emptio action efficiency</t>
        </is>
      </c>
      <c r="E62" s="61" t="inlineStr">
        <is>
          <t>sqrt</t>
        </is>
      </c>
      <c r="F62" s="73" t="n">
        <v>0.0001</v>
      </c>
      <c r="G62" s="60" t="n">
        <v>100</v>
      </c>
      <c r="H62" s="74">
        <f>IF(F62="","",F62*IF(E62="linear",G62,IF(E62="log",LN(G62+1),SQRT(G62))))</f>
        <v/>
      </c>
    </row>
    <row r="63" ht="15" customHeight="1" s="57">
      <c r="A63" s="61" t="n">
        <v>59</v>
      </c>
      <c r="B63" s="64" t="inlineStr">
        <is>
          <t>Orias</t>
        </is>
      </c>
      <c r="C63" s="67" t="inlineStr">
        <is>
          <t>Transformations</t>
        </is>
      </c>
      <c r="D63" s="80" t="inlineStr">
        <is>
          <t>+Vitium Compositum influence output</t>
        </is>
      </c>
      <c r="E63" s="61" t="inlineStr">
        <is>
          <t>sqrt</t>
        </is>
      </c>
      <c r="F63" s="73" t="n">
        <v>0.0001</v>
      </c>
      <c r="G63" s="60" t="n">
        <v>100</v>
      </c>
      <c r="H63" s="74">
        <f>IF(F63="","",F63*IF(E63="linear",G63,IF(E63="log",LN(G63+1),SQRT(G63))))</f>
        <v/>
      </c>
    </row>
    <row r="64" ht="15" customHeight="1" s="57">
      <c r="A64" s="61" t="n">
        <v>60</v>
      </c>
      <c r="B64" s="64" t="inlineStr">
        <is>
          <t>Vapula</t>
        </is>
      </c>
      <c r="C64" s="67" t="inlineStr">
        <is>
          <t>Mechanical arts</t>
        </is>
      </c>
      <c r="D64" s="78" t="inlineStr">
        <is>
          <t>+Vitium Mercatura gold output</t>
        </is>
      </c>
      <c r="E64" s="61" t="inlineStr">
        <is>
          <t>sqrt</t>
        </is>
      </c>
      <c r="F64" s="73" t="n">
        <v>0.0001</v>
      </c>
      <c r="G64" s="60" t="n">
        <v>100</v>
      </c>
      <c r="H64" s="74">
        <f>IF(F64="","",F64*IF(E64="linear",G64,IF(E64="log",LN(G64+1),SQRT(G64))))</f>
        <v/>
      </c>
    </row>
    <row r="65" ht="15" customHeight="1" s="57">
      <c r="A65" s="61" t="n">
        <v>61</v>
      </c>
      <c r="B65" s="64" t="inlineStr">
        <is>
          <t>Zagan</t>
        </is>
      </c>
      <c r="C65" s="67" t="inlineStr">
        <is>
          <t>Fools wise</t>
        </is>
      </c>
      <c r="D65" s="78" t="inlineStr">
        <is>
          <t>+Vitium Compositum gold output</t>
        </is>
      </c>
      <c r="E65" s="61" t="inlineStr">
        <is>
          <t>sqrt</t>
        </is>
      </c>
      <c r="F65" s="73" t="n">
        <v>0.0001</v>
      </c>
      <c r="G65" s="60" t="n">
        <v>100</v>
      </c>
      <c r="H65" s="74">
        <f>IF(F65="","",F65*IF(E65="linear",G65,IF(E65="log",LN(G65+1),SQRT(G65))))</f>
        <v/>
      </c>
    </row>
    <row r="66" ht="15" customHeight="1" s="57">
      <c r="A66" s="61" t="n">
        <v>62</v>
      </c>
      <c r="B66" s="64" t="inlineStr">
        <is>
          <t>Volac</t>
        </is>
      </c>
      <c r="C66" s="67" t="inlineStr">
        <is>
          <t>Treasures; serpents</t>
        </is>
      </c>
      <c r="D66" s="72" t="inlineStr">
        <is>
          <t>-Indagatio negative outcome chance</t>
        </is>
      </c>
      <c r="E66" s="61" t="inlineStr">
        <is>
          <t>sqrt</t>
        </is>
      </c>
      <c r="F66" s="73" t="n">
        <v>0.0001</v>
      </c>
      <c r="G66" s="60" t="n">
        <v>100</v>
      </c>
      <c r="H66" s="74">
        <f>IF(F66="","",F66*IF(E66="linear",G66,IF(E66="log",LN(G66+1),SQRT(G66))))</f>
        <v/>
      </c>
    </row>
    <row r="67" ht="15" customHeight="1" s="57">
      <c r="A67" s="61" t="n">
        <v>63</v>
      </c>
      <c r="B67" s="64" t="inlineStr">
        <is>
          <t>Andras</t>
        </is>
      </c>
      <c r="C67" s="67" t="inlineStr">
        <is>
          <t>Sows discord</t>
        </is>
      </c>
      <c r="D67" s="85" t="inlineStr">
        <is>
          <t>+Stellar chance for Emptio</t>
        </is>
      </c>
      <c r="E67" s="61" t="inlineStr">
        <is>
          <t>sqrt</t>
        </is>
      </c>
      <c r="F67" s="73" t="n">
        <v>0.0001</v>
      </c>
      <c r="G67" s="60" t="n">
        <v>100</v>
      </c>
      <c r="H67" s="74">
        <f>IF(F67="","",F67*IF(E67="linear",G67,IF(E67="log",LN(G67+1),SQRT(G67))))</f>
        <v/>
      </c>
    </row>
    <row r="68" ht="15" customHeight="1" s="57">
      <c r="A68" s="61" t="n">
        <v>64</v>
      </c>
      <c r="B68" s="64" t="inlineStr">
        <is>
          <t>Haures</t>
        </is>
      </c>
      <c r="C68" s="67" t="inlineStr">
        <is>
          <t>Destroys enemies</t>
        </is>
      </c>
      <c r="D68" s="85" t="inlineStr">
        <is>
          <t>+Stellar chance for Decimatio</t>
        </is>
      </c>
      <c r="E68" s="61" t="inlineStr">
        <is>
          <t>sqrt</t>
        </is>
      </c>
      <c r="F68" s="73" t="n">
        <v>0.0001</v>
      </c>
      <c r="G68" s="60" t="n">
        <v>100</v>
      </c>
      <c r="H68" s="74">
        <f>IF(F68="","",F68*IF(E68="linear",G68,IF(E68="log",LN(G68+1),SQRT(G68))))</f>
        <v/>
      </c>
    </row>
    <row r="69" ht="15" customHeight="1" s="57">
      <c r="A69" s="61" t="n">
        <v>65</v>
      </c>
      <c r="B69" s="64" t="inlineStr">
        <is>
          <t>Andrealphus</t>
        </is>
      </c>
      <c r="C69" s="67" t="inlineStr">
        <is>
          <t>Mensuration</t>
        </is>
      </c>
      <c r="D69" s="76" t="inlineStr">
        <is>
          <t>+invoking power</t>
        </is>
      </c>
      <c r="E69" s="61" t="inlineStr">
        <is>
          <t>sqrt</t>
        </is>
      </c>
      <c r="F69" s="87">
        <f>0.0001*Globals!$B$21</f>
        <v/>
      </c>
      <c r="G69" s="60" t="n">
        <v>100000000</v>
      </c>
      <c r="H69" s="74">
        <f>IF(F69="","",F69*IF(E69="linear",G69,IF(E69="log",LN(G69+1),SQRT(G69))))</f>
        <v/>
      </c>
    </row>
    <row r="70" ht="15" customHeight="1" s="57">
      <c r="A70" s="61" t="n">
        <v>66</v>
      </c>
      <c r="B70" s="64" t="inlineStr">
        <is>
          <t>Cimejes</t>
        </is>
      </c>
      <c r="C70" s="67" t="inlineStr">
        <is>
          <t>Lost things; treasures</t>
        </is>
      </c>
      <c r="D70" s="82" t="inlineStr">
        <is>
          <t>+remaining maleficia chance</t>
        </is>
      </c>
      <c r="E70" s="61" t="inlineStr">
        <is>
          <t>log</t>
        </is>
      </c>
      <c r="F70" s="73" t="n">
        <v>1</v>
      </c>
      <c r="G70" s="60" t="n">
        <v>1000</v>
      </c>
      <c r="H70" s="61">
        <f>IF(F70="","",F70*IF(E70="linear",G70,IF(E70="log",LN(G70+1),SQRT(G70))))</f>
        <v/>
      </c>
    </row>
    <row r="71" ht="15" customHeight="1" s="57">
      <c r="A71" s="61" t="n">
        <v>67</v>
      </c>
      <c r="B71" s="64" t="inlineStr">
        <is>
          <t>Amdusias</t>
        </is>
      </c>
      <c r="C71" s="67" t="inlineStr">
        <is>
          <t>Harsh music</t>
        </is>
      </c>
      <c r="D71" s="77" t="inlineStr">
        <is>
          <t>+positive outcome chance (all Opera)</t>
        </is>
      </c>
      <c r="E71" s="61" t="inlineStr">
        <is>
          <t>sqrt</t>
        </is>
      </c>
      <c r="F71" s="73" t="n">
        <v>0.0001</v>
      </c>
      <c r="G71" s="60" t="n">
        <v>100</v>
      </c>
      <c r="H71" s="74">
        <f>IF(F71="","",F71*IF(E71="linear",G71,IF(E71="log",LN(G71+1),SQRT(G71))))</f>
        <v/>
      </c>
    </row>
    <row r="72" ht="15" customHeight="1" s="57">
      <c r="A72" s="61" t="n">
        <v>68</v>
      </c>
      <c r="B72" s="64" t="inlineStr">
        <is>
          <t>Belial</t>
        </is>
      </c>
      <c r="C72" s="67" t="inlineStr">
        <is>
          <t>Favour; preferments</t>
        </is>
      </c>
      <c r="D72" s="80" t="inlineStr">
        <is>
          <t>+influence gain rate</t>
        </is>
      </c>
      <c r="E72" s="61" t="inlineStr">
        <is>
          <t>sqrt</t>
        </is>
      </c>
      <c r="F72" s="73" t="n">
        <v>0.0001</v>
      </c>
      <c r="G72" s="60" t="n">
        <v>100</v>
      </c>
      <c r="H72" s="74">
        <f>IF(F72="","",F72*IF(E72="linear",G72,IF(E72="log",LN(G72+1),SQRT(G72))))</f>
        <v/>
      </c>
    </row>
    <row r="73" ht="15" customHeight="1" s="57">
      <c r="A73" s="61" t="n">
        <v>69</v>
      </c>
      <c r="B73" s="64" t="inlineStr">
        <is>
          <t>Decarabia</t>
        </is>
      </c>
      <c r="C73" s="67" t="inlineStr">
        <is>
          <t>Stones &amp; herbs</t>
        </is>
      </c>
      <c r="D73" s="80" t="inlineStr">
        <is>
          <t>Generates influence / s</t>
        </is>
      </c>
      <c r="E73" s="61" t="inlineStr">
        <is>
          <t>log</t>
        </is>
      </c>
      <c r="F73" s="86">
        <f>0.5*Globals!$B$21</f>
        <v/>
      </c>
      <c r="G73" s="60" t="n">
        <v>100000000</v>
      </c>
      <c r="H73" s="61">
        <f>IF(F73="","",F73*IF(E73="linear",G73,IF(E73="log",LN(G73+1),SQRT(G73))))</f>
        <v/>
      </c>
    </row>
    <row r="74" ht="15" customHeight="1" s="57">
      <c r="A74" s="61" t="n">
        <v>70</v>
      </c>
      <c r="B74" s="64" t="inlineStr">
        <is>
          <t>Seere</t>
        </is>
      </c>
      <c r="C74" s="67" t="inlineStr">
        <is>
          <t>Brings things suddenly</t>
        </is>
      </c>
      <c r="D74" s="88" t="inlineStr">
        <is>
          <t>+Emptio action efficiency</t>
        </is>
      </c>
      <c r="E74" s="61" t="inlineStr">
        <is>
          <t>sqrt</t>
        </is>
      </c>
      <c r="F74" s="73" t="n">
        <v>0.0001</v>
      </c>
      <c r="G74" s="60" t="n">
        <v>100</v>
      </c>
      <c r="H74" s="74">
        <f>IF(F74="","",F74*IF(E74="linear",G74,IF(E74="log",LN(G74+1),SQRT(G74))))</f>
        <v/>
      </c>
    </row>
    <row r="75" ht="15" customHeight="1" s="57">
      <c r="A75" s="61" t="n">
        <v>71</v>
      </c>
      <c r="B75" s="64" t="inlineStr">
        <is>
          <t>Dantalion</t>
        </is>
      </c>
      <c r="C75" s="67" t="inlineStr">
        <is>
          <t>All human thoughts</t>
        </is>
      </c>
      <c r="D75" s="88" t="inlineStr">
        <is>
          <t>+Logos action efficiency</t>
        </is>
      </c>
      <c r="E75" s="61" t="inlineStr">
        <is>
          <t>sqrt</t>
        </is>
      </c>
      <c r="F75" s="73" t="n">
        <v>0.0001</v>
      </c>
      <c r="G75" s="60" t="n">
        <v>100</v>
      </c>
      <c r="H75" s="74">
        <f>IF(F75="","",F75*IF(E75="linear",G75,IF(E75="log",LN(G75+1),SQRT(G75))))</f>
        <v/>
      </c>
    </row>
    <row r="76" ht="15" customHeight="1" s="57">
      <c r="A76" s="61" t="n">
        <v>72</v>
      </c>
      <c r="B76" s="64" t="inlineStr">
        <is>
          <t>Andromalius</t>
        </is>
      </c>
      <c r="C76" s="67" t="inlineStr">
        <is>
          <t>Returns stolen; reveals plots</t>
        </is>
      </c>
      <c r="D76" s="77" t="inlineStr">
        <is>
          <t>+Emptio positive outcome chance</t>
        </is>
      </c>
      <c r="E76" s="61" t="inlineStr">
        <is>
          <t>sqrt</t>
        </is>
      </c>
      <c r="F76" s="73" t="n">
        <v>0.0001</v>
      </c>
      <c r="G76" s="60" t="n">
        <v>100</v>
      </c>
      <c r="H76" s="74">
        <f>IF(F76="","",F76*IF(E76="linear",G76,IF(E76="log",LN(G76+1),SQRT(G76))))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B36" activeCellId="0" sqref="B36"/>
    </sheetView>
  </sheetViews>
  <sheetFormatPr baseColWidth="8" defaultColWidth="8.6796875" defaultRowHeight="13.5" zeroHeight="0" outlineLevelRow="0"/>
  <cols>
    <col width="14" customWidth="1" style="56" min="1" max="1"/>
    <col width="12" customWidth="1" style="56" min="2" max="2"/>
    <col width="40" customWidth="1" style="56" min="3" max="3"/>
    <col width="11.53" customWidth="1" style="56" min="16382" max="16384"/>
  </cols>
  <sheetData>
    <row r="1" ht="19.5" customHeight="1" s="57">
      <c r="A1" s="65" t="inlineStr">
        <is>
          <t>Logos — Tempting</t>
        </is>
      </c>
    </row>
    <row r="2" ht="13.5" customHeight="1" s="57">
      <c r="A2" s="66" t="inlineStr">
        <is>
          <t>Action efficiency modifies costs and positive outcomes by the same %; does NOT affect action time.</t>
        </is>
      </c>
    </row>
    <row r="4" ht="13.5" customHeight="1" s="57">
      <c r="A4" s="68" t="inlineStr">
        <is>
          <t>Suggestion  —  one-shot 5s, 5 influence; Luxuria 1 enables toggle</t>
        </is>
      </c>
    </row>
    <row r="5" ht="15" customHeight="1" s="57">
      <c r="A5" s="89" t="inlineStr">
        <is>
          <t>Early-game reprobate source.</t>
        </is>
      </c>
    </row>
    <row r="6" ht="26.25" customHeight="1" s="57">
      <c r="A6" s="58" t="inlineStr">
        <is>
          <t>Tier</t>
        </is>
      </c>
      <c r="B6" s="58" t="inlineStr">
        <is>
          <t>Base prob %</t>
        </is>
      </c>
      <c r="C6" s="58" t="inlineStr">
        <is>
          <t>Effect</t>
        </is>
      </c>
    </row>
    <row r="7" ht="13.5" customHeight="1" s="57">
      <c r="A7" s="90" t="inlineStr">
        <is>
          <t>Stellar</t>
        </is>
      </c>
      <c r="B7" s="74" t="n">
        <v>0.001</v>
      </c>
      <c r="C7" s="67" t="inlineStr">
        <is>
          <t xml:space="preserve">+randint(4,8) reprobate </t>
        </is>
      </c>
    </row>
    <row r="8" ht="13.5" customHeight="1" s="57">
      <c r="A8" s="91" t="inlineStr">
        <is>
          <t>Excellent</t>
        </is>
      </c>
      <c r="B8" s="74" t="n">
        <v>0.099</v>
      </c>
      <c r="C8" s="67" t="inlineStr">
        <is>
          <t xml:space="preserve">+randint(2,4) reprobate </t>
        </is>
      </c>
    </row>
    <row r="9" ht="13.5" customHeight="1" s="57">
      <c r="A9" s="92" t="inlineStr">
        <is>
          <t>Good</t>
        </is>
      </c>
      <c r="B9" s="74" t="n">
        <v>0.25</v>
      </c>
      <c r="C9" s="67" t="inlineStr">
        <is>
          <t>+1 reprobate</t>
        </is>
      </c>
    </row>
    <row r="10" ht="13.5" customHeight="1" s="57">
      <c r="A10" s="93" t="inlineStr">
        <is>
          <t>Neutral</t>
        </is>
      </c>
      <c r="B10" s="74" t="n">
        <v>0.35</v>
      </c>
      <c r="C10" s="67" t="inlineStr">
        <is>
          <t>nothing</t>
        </is>
      </c>
    </row>
    <row r="11" ht="13.5" customHeight="1" s="57">
      <c r="A11" s="94" t="inlineStr">
        <is>
          <t>Bad</t>
        </is>
      </c>
      <c r="B11" s="74" t="n">
        <v>0.2</v>
      </c>
      <c r="C11" s="67" t="inlineStr">
        <is>
          <t>-1 reprobate</t>
        </is>
      </c>
    </row>
    <row r="12" ht="13.5" customHeight="1" s="57">
      <c r="A12" s="95" t="inlineStr">
        <is>
          <t>Terrible</t>
        </is>
      </c>
      <c r="B12" s="74" t="n">
        <v>0.099</v>
      </c>
      <c r="C12" s="67" t="inlineStr">
        <is>
          <t>lose 9% reprobates</t>
        </is>
      </c>
    </row>
    <row r="13" ht="13.5" customHeight="1" s="57">
      <c r="A13" s="96" t="inlineStr">
        <is>
          <t>Apocalyptic</t>
        </is>
      </c>
      <c r="B13" s="74" t="n">
        <v>0.001</v>
      </c>
      <c r="C13" s="67" t="inlineStr">
        <is>
          <t>Lose 50% reprobates</t>
        </is>
      </c>
    </row>
    <row r="14" ht="13.5" customHeight="1" s="57">
      <c r="A14" s="64" t="inlineStr">
        <is>
          <t>SUM check</t>
        </is>
      </c>
      <c r="B14" s="97">
        <f>SUM(B7:B13)</f>
        <v/>
      </c>
      <c r="C14" s="59" t="inlineStr">
        <is>
          <t>(should = 100% for fully-specified distributions)</t>
        </is>
      </c>
    </row>
    <row r="16" ht="13.5" customHeight="1" s="57">
      <c r="A16" s="68" t="inlineStr">
        <is>
          <t>Logismoi  —  one-shot 5s, 25 influence; unlock Luxuria 2, toggle Luxuria 3</t>
        </is>
      </c>
    </row>
    <row r="17" ht="15" customHeight="1" s="57">
      <c r="A17" s="89" t="inlineStr">
        <is>
          <t>Mid-game reprobate source.</t>
        </is>
      </c>
    </row>
    <row r="18" ht="26.25" customHeight="1" s="57">
      <c r="A18" s="98" t="inlineStr">
        <is>
          <t>Tier</t>
        </is>
      </c>
      <c r="B18" s="98" t="inlineStr">
        <is>
          <t>Base prob %</t>
        </is>
      </c>
      <c r="C18" s="98" t="inlineStr">
        <is>
          <t>Effect</t>
        </is>
      </c>
    </row>
    <row r="19" ht="13.5" customHeight="1" s="57">
      <c r="A19" s="90" t="inlineStr">
        <is>
          <t>Stellar</t>
        </is>
      </c>
      <c r="B19" s="74" t="n">
        <v>0.01</v>
      </c>
      <c r="C19" s="67" t="inlineStr">
        <is>
          <t>+3% current reprobates</t>
        </is>
      </c>
    </row>
    <row r="20" ht="13.5" customHeight="1" s="57">
      <c r="A20" s="91" t="inlineStr">
        <is>
          <t>Excellent</t>
        </is>
      </c>
      <c r="B20" s="74" t="n">
        <v>0.15</v>
      </c>
      <c r="C20" s="67" t="inlineStr">
        <is>
          <t>+randint(20,58) reprobates</t>
        </is>
      </c>
    </row>
    <row r="21" ht="13.5" customHeight="1" s="57">
      <c r="A21" s="92" t="inlineStr">
        <is>
          <t>Good</t>
        </is>
      </c>
      <c r="B21" s="74" t="n">
        <v>0.3</v>
      </c>
      <c r="C21" s="67" t="inlineStr">
        <is>
          <t>+randint(10,29) reprobates</t>
        </is>
      </c>
    </row>
    <row r="22" ht="13.5" customHeight="1" s="57">
      <c r="A22" s="93" t="inlineStr">
        <is>
          <t>Neutral</t>
        </is>
      </c>
      <c r="B22" s="74" t="n">
        <v>0.3</v>
      </c>
      <c r="C22" s="67" t="inlineStr">
        <is>
          <t>nothing</t>
        </is>
      </c>
    </row>
    <row r="23" ht="13.5" customHeight="1" s="57">
      <c r="A23" s="94" t="inlineStr">
        <is>
          <t>Bad</t>
        </is>
      </c>
      <c r="B23" s="74" t="n">
        <v>0.17</v>
      </c>
      <c r="C23" s="67" t="inlineStr">
        <is>
          <t>-1 reprobate</t>
        </is>
      </c>
    </row>
    <row r="24" ht="13.5" customHeight="1" s="57">
      <c r="A24" s="95" t="inlineStr">
        <is>
          <t>Terrible</t>
        </is>
      </c>
      <c r="B24" s="74" t="n">
        <v>0.06900000000000001</v>
      </c>
      <c r="C24" s="67" t="inlineStr">
        <is>
          <t>lose 9% reprobates</t>
        </is>
      </c>
    </row>
    <row r="25" ht="13.5" customHeight="1" s="57">
      <c r="A25" s="96" t="inlineStr">
        <is>
          <t>Apocalyptic</t>
        </is>
      </c>
      <c r="B25" s="74" t="n">
        <v>0.001</v>
      </c>
      <c r="C25" s="67" t="inlineStr">
        <is>
          <t>Lose 50% reprobates</t>
        </is>
      </c>
    </row>
    <row r="26" ht="13.5" customHeight="1" s="57">
      <c r="A26" s="64" t="inlineStr">
        <is>
          <t>SUM check</t>
        </is>
      </c>
      <c r="B26" s="97">
        <f>SUM(B19:B25)</f>
        <v/>
      </c>
      <c r="C26" s="59" t="inlineStr">
        <is>
          <t>(should = 100% for fully-specified distributions)</t>
        </is>
      </c>
    </row>
    <row r="28" ht="13.5" customHeight="1" s="57">
      <c r="A28" s="68" t="inlineStr">
        <is>
          <t>Imperium  —  one-shot 10s, 100 influence; unlock Luxuria 3, toggle Luxuria 4</t>
        </is>
      </c>
    </row>
    <row r="29" ht="15" customHeight="1" s="57">
      <c r="A29" s="89" t="inlineStr">
        <is>
          <t>Late-game; outcome is fixed (player in control).</t>
        </is>
      </c>
    </row>
    <row r="30" ht="26.25" customHeight="1" s="57">
      <c r="A30" s="58" t="inlineStr">
        <is>
          <t>Tier</t>
        </is>
      </c>
      <c r="B30" s="58" t="inlineStr">
        <is>
          <t>Base prob %</t>
        </is>
      </c>
      <c r="C30" s="58" t="inlineStr">
        <is>
          <t>Effect</t>
        </is>
      </c>
    </row>
    <row r="31" ht="13.5" customHeight="1" s="57">
      <c r="A31" s="90" t="inlineStr">
        <is>
          <t>Stellar</t>
        </is>
      </c>
      <c r="B31" s="74" t="n">
        <v>0.035</v>
      </c>
      <c r="C31" s="67" t="inlineStr">
        <is>
          <t>+3% current souls</t>
        </is>
      </c>
    </row>
    <row r="32" ht="13.5" customHeight="1" s="57">
      <c r="A32" s="91" t="inlineStr">
        <is>
          <t>Excellent</t>
        </is>
      </c>
      <c r="B32" s="74" t="n">
        <v>0.18</v>
      </c>
      <c r="C32" s="67" t="inlineStr">
        <is>
          <t>+3% current reprobates</t>
        </is>
      </c>
    </row>
    <row r="33" ht="13.5" customHeight="1" s="57">
      <c r="A33" s="92" t="inlineStr">
        <is>
          <t>Good</t>
        </is>
      </c>
      <c r="B33" s="74" t="n">
        <v>0.21</v>
      </c>
      <c r="C33" s="67" t="inlineStr">
        <is>
          <t>+randint(100,1000) reprobates</t>
        </is>
      </c>
    </row>
    <row r="34" ht="13.5" customHeight="1" s="57">
      <c r="A34" s="93" t="inlineStr">
        <is>
          <t>Neutral</t>
        </is>
      </c>
      <c r="B34" s="74" t="n">
        <v>0.235</v>
      </c>
      <c r="C34" s="67" t="inlineStr">
        <is>
          <t>nothing</t>
        </is>
      </c>
    </row>
    <row r="35" ht="13.5" customHeight="1" s="57">
      <c r="A35" s="94" t="inlineStr">
        <is>
          <t>Bad</t>
        </is>
      </c>
      <c r="B35" s="74" t="n">
        <v>0.15</v>
      </c>
      <c r="C35" s="67" t="inlineStr">
        <is>
          <t>-1 reprobate</t>
        </is>
      </c>
    </row>
    <row r="36" ht="13.5" customHeight="1" s="57">
      <c r="A36" s="95" t="inlineStr">
        <is>
          <t>Terrible</t>
        </is>
      </c>
      <c r="B36" s="74" t="n">
        <v>0.155</v>
      </c>
      <c r="C36" s="67" t="inlineStr">
        <is>
          <t>Lose 5% reprobates</t>
        </is>
      </c>
    </row>
    <row r="37" ht="13.5" customHeight="1" s="57">
      <c r="A37" s="96" t="inlineStr">
        <is>
          <t>Apocalyptic</t>
        </is>
      </c>
      <c r="B37" s="74" t="n">
        <v>0.035</v>
      </c>
      <c r="C37" s="67" t="inlineStr">
        <is>
          <t>Lose 50% reprobates</t>
        </is>
      </c>
    </row>
    <row r="38" ht="13.5" customHeight="1" s="57">
      <c r="A38" s="64" t="inlineStr">
        <is>
          <t>SUM check</t>
        </is>
      </c>
      <c r="B38" s="97">
        <f>SUM(B31:B37)</f>
        <v/>
      </c>
      <c r="C38" s="59" t="inlineStr">
        <is>
          <t>(should = 100% for fully-specified distributions)</t>
        </is>
      </c>
    </row>
  </sheetData>
  <mergeCells count="6">
    <mergeCell ref="A28:C28"/>
    <mergeCell ref="A5:C5"/>
    <mergeCell ref="A17:C17"/>
    <mergeCell ref="A29:C29"/>
    <mergeCell ref="A4:C4"/>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37" activeCellId="0" sqref="C37"/>
    </sheetView>
  </sheetViews>
  <sheetFormatPr baseColWidth="8" defaultColWidth="8.6796875" defaultRowHeight="15" zeroHeight="0" outlineLevelRow="0"/>
  <cols>
    <col width="14" customWidth="1" style="56" min="1" max="1"/>
    <col width="12" customWidth="1" style="56" min="2" max="2"/>
    <col width="46" customWidth="1" style="56" min="3" max="3"/>
    <col width="11.53" customWidth="1" style="56" min="16382" max="16384"/>
  </cols>
  <sheetData>
    <row r="1" ht="19.5" customHeight="1" s="57">
      <c r="A1" s="65" t="inlineStr">
        <is>
          <t>Decimatio — Culling</t>
        </is>
      </c>
    </row>
    <row r="2" ht="15" customHeight="1" s="57">
      <c r="A2" s="66" t="inlineStr">
        <is>
          <t>Action efficiency modifies costs and positive outcomes by the same %; does NOT affect action time.</t>
        </is>
      </c>
    </row>
    <row r="4" ht="15" customHeight="1" s="57">
      <c r="A4" s="68" t="inlineStr">
        <is>
          <t>Caedis  —  one-shot 10s, 100 gold; Ira 1 enables toggle</t>
        </is>
      </c>
    </row>
    <row r="5" ht="15" customHeight="1" s="57">
      <c r="A5" s="89" t="inlineStr">
        <is>
          <t>Early soul source.</t>
        </is>
      </c>
    </row>
    <row r="6" ht="26.25" customHeight="1" s="57">
      <c r="A6" s="58" t="inlineStr">
        <is>
          <t>Tier</t>
        </is>
      </c>
      <c r="B6" s="58" t="inlineStr">
        <is>
          <t>Base prob %</t>
        </is>
      </c>
      <c r="C6" s="58" t="inlineStr">
        <is>
          <t>Effect</t>
        </is>
      </c>
    </row>
    <row r="7" ht="15.75" customHeight="1" s="57">
      <c r="A7" s="90" t="inlineStr">
        <is>
          <t>Stellar</t>
        </is>
      </c>
      <c r="B7" s="62" t="n">
        <v>0.01</v>
      </c>
      <c r="C7" s="67" t="inlineStr">
        <is>
          <t>Randint(15,45) reprobates die (+= souls)</t>
        </is>
      </c>
    </row>
    <row r="8" ht="15" customHeight="1" s="57">
      <c r="A8" s="91" t="inlineStr">
        <is>
          <t>Excellent</t>
        </is>
      </c>
      <c r="B8" s="62" t="n">
        <v>0.05</v>
      </c>
      <c r="C8" s="67" t="inlineStr">
        <is>
          <t>Randint(3,9) reprobates die (+= souls)</t>
        </is>
      </c>
    </row>
    <row r="9" ht="15" customHeight="1" s="57">
      <c r="A9" s="92" t="inlineStr">
        <is>
          <t>Good</t>
        </is>
      </c>
      <c r="B9" s="62" t="n">
        <v>0.66</v>
      </c>
      <c r="C9" s="67" t="inlineStr">
        <is>
          <t>1 reprobate dies (+= souls)</t>
        </is>
      </c>
    </row>
    <row r="10" ht="15" customHeight="1" s="57">
      <c r="A10" s="93" t="inlineStr">
        <is>
          <t>Neutral</t>
        </is>
      </c>
      <c r="B10" s="62" t="n">
        <v>0.15</v>
      </c>
      <c r="C10" s="67" t="inlineStr">
        <is>
          <t>gold spent, no outcome</t>
        </is>
      </c>
    </row>
    <row r="11" ht="15" customHeight="1" s="57">
      <c r="A11" s="94" t="inlineStr">
        <is>
          <t>Bad</t>
        </is>
      </c>
      <c r="B11" s="62" t="n">
        <v>0.1</v>
      </c>
      <c r="C11" s="67" t="inlineStr">
        <is>
          <t>5% gold loss.</t>
        </is>
      </c>
    </row>
    <row r="12" ht="15" customHeight="1" s="57">
      <c r="A12" s="95" t="inlineStr">
        <is>
          <t>Terrible</t>
        </is>
      </c>
      <c r="B12" s="62" t="n">
        <v>0.02</v>
      </c>
      <c r="C12" s="67" t="inlineStr">
        <is>
          <t>15% gold loss.</t>
        </is>
      </c>
    </row>
    <row r="13" ht="21.75" customHeight="1" s="57">
      <c r="A13" s="96" t="inlineStr">
        <is>
          <t>Apocalyptic</t>
        </is>
      </c>
      <c r="B13" s="62" t="n">
        <v>0.01</v>
      </c>
      <c r="C13" s="99" t="inlineStr">
        <is>
          <t>33% gold loss and 25% total reprobate loss.</t>
        </is>
      </c>
    </row>
    <row r="14" ht="15" customHeight="1" s="57">
      <c r="A14" s="64" t="inlineStr">
        <is>
          <t>SUM check</t>
        </is>
      </c>
      <c r="B14" s="97">
        <f>SUM(B7:B13)</f>
        <v/>
      </c>
      <c r="C14" s="59" t="inlineStr">
        <is>
          <t>(should = 100% for fully-specified distributions)</t>
        </is>
      </c>
    </row>
    <row r="16" ht="15" customHeight="1" s="57">
      <c r="A16" s="68" t="inlineStr">
        <is>
          <t>Pogrom  —  one-shot ~60s, 1000 gold; unlock Ira 2, toggle Ira 3</t>
        </is>
      </c>
    </row>
    <row r="17" ht="15" customHeight="1" s="57">
      <c r="A17" s="89" t="inlineStr">
        <is>
          <t>Mass cull.</t>
        </is>
      </c>
    </row>
    <row r="18" ht="26.25" customHeight="1" s="57">
      <c r="A18" s="58" t="inlineStr">
        <is>
          <t>Tier</t>
        </is>
      </c>
      <c r="B18" s="58" t="inlineStr">
        <is>
          <t>Base prob %</t>
        </is>
      </c>
      <c r="C18" s="58" t="inlineStr">
        <is>
          <t>Effect</t>
        </is>
      </c>
    </row>
    <row r="19" ht="15" customHeight="1" s="57">
      <c r="A19" s="90" t="inlineStr">
        <is>
          <t>Stellar</t>
        </is>
      </c>
      <c r="B19" s="62" t="n">
        <v>0.015</v>
      </c>
      <c r="C19" s="67" t="inlineStr">
        <is>
          <t>2.5 % reprobates die (+= souls)</t>
        </is>
      </c>
    </row>
    <row r="20" ht="15" customHeight="1" s="57">
      <c r="A20" s="91" t="inlineStr">
        <is>
          <t>Excellent</t>
        </is>
      </c>
      <c r="B20" s="62" t="n">
        <v>0.06</v>
      </c>
      <c r="C20" s="67" t="inlineStr">
        <is>
          <t>1% reprobates die (+= souls)</t>
        </is>
      </c>
    </row>
    <row r="21" ht="15" customHeight="1" s="57">
      <c r="A21" s="92" t="inlineStr">
        <is>
          <t>Good</t>
        </is>
      </c>
      <c r="B21" s="62" t="n">
        <v>0.6</v>
      </c>
      <c r="C21" s="67" t="inlineStr">
        <is>
          <t>0.1% reprobates die (+= souls)</t>
        </is>
      </c>
    </row>
    <row r="22" ht="15" customHeight="1" s="57">
      <c r="A22" s="93" t="inlineStr">
        <is>
          <t>Neutral</t>
        </is>
      </c>
      <c r="B22" s="62" t="n">
        <v>0.15</v>
      </c>
      <c r="C22" s="67" t="inlineStr">
        <is>
          <t>gold spent, no outcome</t>
        </is>
      </c>
    </row>
    <row r="23" ht="15" customHeight="1" s="57">
      <c r="A23" s="94" t="inlineStr">
        <is>
          <t>Bad</t>
        </is>
      </c>
      <c r="B23" s="62" t="n">
        <v>0.1</v>
      </c>
      <c r="C23" s="67" t="inlineStr">
        <is>
          <t>5% gold loss</t>
        </is>
      </c>
    </row>
    <row r="24" ht="15" customHeight="1" s="57">
      <c r="A24" s="95" t="inlineStr">
        <is>
          <t>Terrible</t>
        </is>
      </c>
      <c r="B24" s="62" t="n">
        <v>0.06</v>
      </c>
      <c r="C24" s="67" t="inlineStr">
        <is>
          <t>Lose 15% reprobates</t>
        </is>
      </c>
    </row>
    <row r="25" ht="15" customHeight="1" s="57">
      <c r="A25" s="96" t="inlineStr">
        <is>
          <t>Apocalyptic</t>
        </is>
      </c>
      <c r="B25" s="62" t="n">
        <v>0.015</v>
      </c>
      <c r="C25" s="99" t="inlineStr">
        <is>
          <t>66% gold loss and 50% reprobate loss.</t>
        </is>
      </c>
    </row>
    <row r="26" ht="15" customHeight="1" s="57">
      <c r="A26" s="64" t="inlineStr">
        <is>
          <t>SUM check</t>
        </is>
      </c>
      <c r="B26" s="97">
        <f>SUM(B19:B25)</f>
        <v/>
      </c>
      <c r="C26" s="59" t="inlineStr">
        <is>
          <t>(should = 100% for fully-specified distributions)</t>
        </is>
      </c>
    </row>
    <row r="28" ht="15" customHeight="1" s="57">
      <c r="A28" s="68" t="inlineStr">
        <is>
          <t>Purgatio  —  one-shot ~360s, 1000000; unlock Ira 3, toggle Ira 4</t>
        </is>
      </c>
    </row>
    <row r="29" ht="15" customHeight="1" s="57">
      <c r="A29" s="89" t="inlineStr">
        <is>
          <t>Soul farming.</t>
        </is>
      </c>
    </row>
    <row r="30" ht="26.25" customHeight="1" s="57">
      <c r="A30" s="58" t="inlineStr">
        <is>
          <t>Tier</t>
        </is>
      </c>
      <c r="B30" s="58" t="inlineStr">
        <is>
          <t>Base prob %</t>
        </is>
      </c>
      <c r="C30" s="58" t="inlineStr">
        <is>
          <t>Effect</t>
        </is>
      </c>
    </row>
    <row r="31" ht="15" customHeight="1" s="57">
      <c r="A31" s="90" t="inlineStr">
        <is>
          <t>Stellar</t>
        </is>
      </c>
      <c r="B31" s="62" t="n">
        <v>0.025</v>
      </c>
      <c r="C31" s="67" t="inlineStr">
        <is>
          <t>25% reprobates die (+= souls)</t>
        </is>
      </c>
    </row>
    <row r="32" ht="15" customHeight="1" s="57">
      <c r="A32" s="91" t="inlineStr">
        <is>
          <t>Excellent</t>
        </is>
      </c>
      <c r="B32" s="62" t="n">
        <v>0.1</v>
      </c>
      <c r="C32" s="67" t="inlineStr">
        <is>
          <t>10% reprobates die (+= souls)</t>
        </is>
      </c>
    </row>
    <row r="33" ht="15" customHeight="1" s="57">
      <c r="A33" s="92" t="inlineStr">
        <is>
          <t>Good</t>
        </is>
      </c>
      <c r="B33" s="62" t="n">
        <v>0.3</v>
      </c>
      <c r="C33" s="67" t="inlineStr">
        <is>
          <t>1% reprobates die (+= souls)</t>
        </is>
      </c>
    </row>
    <row r="34" ht="15" customHeight="1" s="57">
      <c r="A34" s="93" t="inlineStr">
        <is>
          <t>Neutral</t>
        </is>
      </c>
      <c r="B34" s="62" t="n">
        <v>0.3</v>
      </c>
      <c r="C34" s="67" t="inlineStr">
        <is>
          <t>gold spent, no outcome</t>
        </is>
      </c>
    </row>
    <row r="35" ht="15" customHeight="1" s="57">
      <c r="A35" s="94" t="inlineStr">
        <is>
          <t>Bad</t>
        </is>
      </c>
      <c r="B35" s="62" t="n">
        <v>0.15</v>
      </c>
      <c r="C35" s="67" t="inlineStr">
        <is>
          <t>5% gold loss</t>
        </is>
      </c>
    </row>
    <row r="36" ht="15" customHeight="1" s="57">
      <c r="A36" s="95" t="inlineStr">
        <is>
          <t>Terrible</t>
        </is>
      </c>
      <c r="B36" s="62" t="n">
        <v>0.1</v>
      </c>
      <c r="C36" s="67" t="inlineStr">
        <is>
          <t>Lose 100% gold</t>
        </is>
      </c>
    </row>
    <row r="37" ht="15" customHeight="1" s="57">
      <c r="A37" s="96" t="inlineStr">
        <is>
          <t>Apocalyptic</t>
        </is>
      </c>
      <c r="B37" s="62" t="n">
        <v>0.025</v>
      </c>
      <c r="C37" s="67" t="inlineStr">
        <is>
          <t>Lose 100% gold and reprobates</t>
        </is>
      </c>
    </row>
    <row r="38" ht="15" customHeight="1" s="57">
      <c r="A38" s="64" t="inlineStr">
        <is>
          <t>SUM check</t>
        </is>
      </c>
      <c r="B38" s="97">
        <f>SUM(B31:B37)</f>
        <v/>
      </c>
      <c r="C38" s="59" t="inlineStr">
        <is>
          <t>(should = 100% for fully-specified distributions)</t>
        </is>
      </c>
    </row>
  </sheetData>
  <mergeCells count="6">
    <mergeCell ref="A28:C28"/>
    <mergeCell ref="A5:C5"/>
    <mergeCell ref="A17:C17"/>
    <mergeCell ref="A29:C29"/>
    <mergeCell ref="A4:C4"/>
    <mergeCell ref="A16:C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5" activeCellId="0" sqref="C5"/>
    </sheetView>
  </sheetViews>
  <sheetFormatPr baseColWidth="8" defaultColWidth="8.6796875" defaultRowHeight="15" zeroHeight="0" outlineLevelRow="0"/>
  <cols>
    <col width="14" customWidth="1" style="56" min="1" max="1"/>
    <col width="16" customWidth="1" style="56" min="2" max="2"/>
    <col width="56.06" customWidth="1" style="56" min="3" max="3"/>
    <col width="55.65" customWidth="1" style="56" min="4" max="4"/>
  </cols>
  <sheetData>
    <row r="1" ht="19.5" customHeight="1" s="57">
      <c r="A1" s="65" t="inlineStr">
        <is>
          <t>Indagatio (search) &amp; Emptio (purchase)</t>
        </is>
      </c>
    </row>
    <row r="2" ht="15" customHeight="1" s="57">
      <c r="A2" s="66" t="inlineStr">
        <is>
          <t>Action effect reduces action time needed for Indagatio and Emptio</t>
        </is>
      </c>
    </row>
    <row r="4" ht="15" customHeight="1" s="57">
      <c r="A4" s="58" t="inlineStr">
        <is>
          <t>Indagatio tier</t>
        </is>
      </c>
      <c r="B4" s="58" t="inlineStr">
        <is>
          <t>Prob %</t>
        </is>
      </c>
      <c r="C4" s="58" t="inlineStr">
        <is>
          <t>Effect</t>
        </is>
      </c>
      <c r="D4" s="58" t="inlineStr">
        <is>
          <t>Indagatio time</t>
        </is>
      </c>
    </row>
    <row r="5" ht="15" customHeight="1" s="57">
      <c r="A5" s="90" t="inlineStr">
        <is>
          <t>Stellar</t>
        </is>
      </c>
      <c r="B5" s="74" t="n">
        <v>0.001</v>
      </c>
      <c r="C5" s="67" t="inlineStr">
        <is>
          <t>Random anathema maleficium found</t>
        </is>
      </c>
      <c r="D5" s="59" t="inlineStr">
        <is>
          <t>300 s</t>
        </is>
      </c>
    </row>
    <row r="6" ht="15" customHeight="1" s="57">
      <c r="A6" s="91" t="inlineStr">
        <is>
          <t>Excellent</t>
        </is>
      </c>
      <c r="B6" s="74" t="n">
        <v>0.049</v>
      </c>
      <c r="C6" s="67" t="inlineStr">
        <is>
          <t>Random profane maleficium found</t>
        </is>
      </c>
    </row>
    <row r="7" ht="15" customHeight="1" s="57">
      <c r="A7" s="92" t="inlineStr">
        <is>
          <t>Good</t>
        </is>
      </c>
      <c r="B7" s="74" t="n">
        <v>0.25</v>
      </c>
      <c r="C7" s="67" t="inlineStr">
        <is>
          <t>Random rare maleficium found</t>
        </is>
      </c>
    </row>
    <row r="8" ht="15" customHeight="1" s="57">
      <c r="A8" s="93" t="inlineStr">
        <is>
          <t>Neutral</t>
        </is>
      </c>
      <c r="B8" s="74" t="n">
        <v>0.5</v>
      </c>
      <c r="C8" s="67" t="inlineStr">
        <is>
          <t>Random common maleficium found</t>
        </is>
      </c>
    </row>
    <row r="9" ht="15" customHeight="1" s="57">
      <c r="A9" s="94" t="inlineStr">
        <is>
          <t>Bad</t>
        </is>
      </c>
      <c r="B9" s="74" t="n">
        <v>0.15</v>
      </c>
      <c r="C9" s="67" t="inlineStr">
        <is>
          <t>lose time</t>
        </is>
      </c>
    </row>
    <row r="10" ht="15" customHeight="1" s="57">
      <c r="A10" s="95" t="inlineStr">
        <is>
          <t>Terrible</t>
        </is>
      </c>
      <c r="B10" s="74" t="n">
        <v>0.049</v>
      </c>
      <c r="C10" s="67" t="inlineStr">
        <is>
          <t>Lose 15% current gold</t>
        </is>
      </c>
    </row>
    <row r="11" ht="15" customHeight="1" s="57">
      <c r="A11" s="96" t="inlineStr">
        <is>
          <t>Apocalyptic</t>
        </is>
      </c>
      <c r="B11" s="74" t="n">
        <v>0.001</v>
      </c>
      <c r="C11" s="67" t="inlineStr">
        <is>
          <t>Lose 80% current gold</t>
        </is>
      </c>
    </row>
    <row r="12" ht="15" customHeight="1" s="57">
      <c r="A12" s="64" t="inlineStr">
        <is>
          <t>SUM</t>
        </is>
      </c>
      <c r="B12" s="97">
        <f>SUM(B5:B11)</f>
        <v/>
      </c>
      <c r="C12" s="59" t="n"/>
    </row>
    <row r="14" ht="15" customHeight="1" s="57">
      <c r="A14" s="58" t="inlineStr">
        <is>
          <t>Emptio tier</t>
        </is>
      </c>
      <c r="B14" s="58" t="inlineStr">
        <is>
          <t>Prob %</t>
        </is>
      </c>
      <c r="C14" s="58" t="inlineStr">
        <is>
          <t>Effect</t>
        </is>
      </c>
      <c r="D14" s="58" t="inlineStr">
        <is>
          <t>Emptio time</t>
        </is>
      </c>
    </row>
    <row r="15" ht="15" customHeight="1" s="57">
      <c r="A15" s="90" t="inlineStr">
        <is>
          <t>Stellar</t>
        </is>
      </c>
      <c r="B15" s="74" t="n">
        <v>0.01</v>
      </c>
      <c r="C15" s="67" t="inlineStr">
        <is>
          <t>Free maleficia</t>
        </is>
      </c>
      <c r="D15" s="59" t="inlineStr">
        <is>
          <t>60 s</t>
        </is>
      </c>
    </row>
    <row r="16" ht="15" customHeight="1" s="57">
      <c r="A16" s="91" t="inlineStr">
        <is>
          <t>Excellent</t>
        </is>
      </c>
      <c r="B16" s="74" t="n">
        <v>0.04</v>
      </c>
      <c r="C16" s="67" t="inlineStr">
        <is>
          <t>purchase at 25% price</t>
        </is>
      </c>
    </row>
    <row r="17" ht="15" customHeight="1" s="57">
      <c r="A17" s="92" t="inlineStr">
        <is>
          <t>Good</t>
        </is>
      </c>
      <c r="B17" s="74" t="n">
        <v>0.1</v>
      </c>
      <c r="C17" s="67" t="inlineStr">
        <is>
          <t>purchase at 50% price</t>
        </is>
      </c>
    </row>
    <row r="18" ht="15" customHeight="1" s="57">
      <c r="A18" s="93" t="inlineStr">
        <is>
          <t>Neutral</t>
        </is>
      </c>
      <c r="B18" s="74" t="n">
        <v>0.7</v>
      </c>
      <c r="C18" s="67" t="inlineStr">
        <is>
          <t>purchase at 100% price</t>
        </is>
      </c>
    </row>
    <row r="19" ht="15" customHeight="1" s="57">
      <c r="A19" s="94" t="inlineStr">
        <is>
          <t>Bad</t>
        </is>
      </c>
      <c r="B19" s="74" t="n">
        <v>0.1</v>
      </c>
      <c r="C19" s="67" t="inlineStr">
        <is>
          <t>lose time</t>
        </is>
      </c>
    </row>
    <row r="20" ht="15" customHeight="1" s="57">
      <c r="A20" s="95" t="inlineStr">
        <is>
          <t>Terrible</t>
        </is>
      </c>
      <c r="B20" s="74" t="n">
        <v>0.049</v>
      </c>
      <c r="C20" s="67" t="inlineStr">
        <is>
          <t>lose time and gold</t>
        </is>
      </c>
    </row>
    <row r="21" ht="15" customHeight="1" s="57">
      <c r="A21" s="96" t="inlineStr">
        <is>
          <t>Apocalyptic</t>
        </is>
      </c>
      <c r="B21" s="74" t="n">
        <v>0.001</v>
      </c>
      <c r="C21" s="67" t="inlineStr">
        <is>
          <t>lose 50% total gold</t>
        </is>
      </c>
    </row>
    <row r="22" ht="15" customHeight="1" s="57">
      <c r="A22" s="64" t="inlineStr">
        <is>
          <t>SUM</t>
        </is>
      </c>
      <c r="B22" s="97">
        <f>SUM(B15:B21)</f>
        <v/>
      </c>
    </row>
    <row r="1048576" ht="12.75" customHeight="1" s="5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39"/>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17" activePane="bottomLeft" state="frozen"/>
      <selection pane="topLeft" activeCell="A1" activeCellId="0" sqref="A1"/>
      <selection pane="bottomLeft" activeCell="C31" activeCellId="0" sqref="C31"/>
    </sheetView>
  </sheetViews>
  <sheetFormatPr baseColWidth="8" defaultColWidth="8.6796875" defaultRowHeight="15" zeroHeight="0" outlineLevelRow="0"/>
  <cols>
    <col width="31.16" customWidth="1" style="56" min="1" max="1"/>
    <col width="22.53" customWidth="1" style="56" min="2" max="2"/>
    <col width="10" customWidth="1" style="56" min="3" max="3"/>
    <col width="12" customWidth="1" style="56" min="4" max="4"/>
    <col width="9" customWidth="1" style="56" min="5" max="5"/>
    <col width="40" customWidth="1" style="56" min="6" max="6"/>
    <col width="20" customWidth="1" style="56" min="7" max="7"/>
    <col width="11.53" customWidth="1" style="56" min="16384" max="16384"/>
  </cols>
  <sheetData>
    <row r="1" ht="19.5" customHeight="1" s="57">
      <c r="A1" s="65" t="inlineStr">
        <is>
          <t>Maleficia — occult items</t>
        </is>
      </c>
    </row>
    <row r="2" ht="15" customHeight="1" s="57">
      <c r="A2" s="66" t="inlineStr">
        <is>
          <t>Discovered via Indagatio, bought via Emptio. Remain across lifetimes on remaining-roll.</t>
        </is>
      </c>
    </row>
    <row r="4" ht="39" customHeight="1" s="57">
      <c r="A4" s="58" t="inlineStr">
        <is>
          <t>Maleficium</t>
        </is>
      </c>
      <c r="B4" s="58" t="inlineStr">
        <is>
          <t>Type</t>
        </is>
      </c>
      <c r="C4" s="58" t="inlineStr">
        <is>
          <t>Rarity</t>
        </is>
      </c>
      <c r="D4" s="58" t="inlineStr">
        <is>
          <t>Invoking power</t>
        </is>
      </c>
      <c r="E4" s="58" t="inlineStr">
        <is>
          <t>Stack cap</t>
        </is>
      </c>
      <c r="F4" s="58" t="inlineStr">
        <is>
          <t>Effect</t>
        </is>
      </c>
      <c r="G4" s="58" t="inlineStr">
        <is>
          <t>Affected by maleficia effect increases?</t>
        </is>
      </c>
    </row>
    <row r="5" ht="15" customHeight="1" s="57">
      <c r="A5" s="64" t="inlineStr">
        <is>
          <t>Spear of Longinus</t>
        </is>
      </c>
      <c r="B5" s="67" t="inlineStr">
        <is>
          <t>Enhancer</t>
        </is>
      </c>
      <c r="C5" s="61" t="inlineStr">
        <is>
          <t>Anathema</t>
        </is>
      </c>
      <c r="D5" s="61" t="n">
        <v>0</v>
      </c>
      <c r="E5" s="61" t="n">
        <v>1</v>
      </c>
      <c r="F5" s="67" t="inlineStr">
        <is>
          <t>x3 max influence</t>
        </is>
      </c>
      <c r="G5" s="69" t="inlineStr">
        <is>
          <t>yes</t>
        </is>
      </c>
    </row>
    <row r="6" ht="15" customHeight="1" s="57">
      <c r="A6" s="64" t="inlineStr">
        <is>
          <t>Mark of Cain</t>
        </is>
      </c>
      <c r="B6" s="67" t="inlineStr">
        <is>
          <t>Enhancer</t>
        </is>
      </c>
      <c r="C6" s="61" t="inlineStr">
        <is>
          <t>Anathema</t>
        </is>
      </c>
      <c r="D6" s="61" t="n">
        <v>0</v>
      </c>
      <c r="E6" s="61" t="n">
        <v>1</v>
      </c>
      <c r="F6" s="67" t="inlineStr">
        <is>
          <t>3x murder rate</t>
        </is>
      </c>
      <c r="G6" s="69" t="inlineStr">
        <is>
          <t>yes</t>
        </is>
      </c>
    </row>
    <row r="7" ht="15" customHeight="1" s="57">
      <c r="A7" s="64" t="inlineStr">
        <is>
          <t>Thirty Pieces of Silver</t>
        </is>
      </c>
      <c r="B7" s="67" t="inlineStr">
        <is>
          <t>Enhancer</t>
        </is>
      </c>
      <c r="C7" s="61" t="inlineStr">
        <is>
          <t>Anathema</t>
        </is>
      </c>
      <c r="D7" s="61" t="n">
        <v>0</v>
      </c>
      <c r="E7" s="61" t="n">
        <v>1</v>
      </c>
      <c r="F7" s="67" t="inlineStr">
        <is>
          <t>Increases gold gain by 0.001% per current gold</t>
        </is>
      </c>
      <c r="G7" s="69" t="inlineStr">
        <is>
          <t>yes</t>
        </is>
      </c>
    </row>
    <row r="8" ht="15" customHeight="1" s="57">
      <c r="A8" s="64" t="inlineStr">
        <is>
          <t>Solomon's Ring</t>
        </is>
      </c>
      <c r="B8" s="67" t="inlineStr">
        <is>
          <t>Enhancer</t>
        </is>
      </c>
      <c r="C8" s="61" t="inlineStr">
        <is>
          <t>Anathema</t>
        </is>
      </c>
      <c r="D8" s="61" t="n">
        <v>0</v>
      </c>
      <c r="E8" s="61" t="n">
        <v>1</v>
      </c>
      <c r="F8" s="67" t="inlineStr">
        <is>
          <t>*1.66 sigil effect</t>
        </is>
      </c>
      <c r="G8" s="69" t="inlineStr">
        <is>
          <t>yes</t>
        </is>
      </c>
    </row>
    <row r="9" ht="15" customHeight="1" s="57">
      <c r="A9" s="64" t="inlineStr">
        <is>
          <t>Red Robe</t>
        </is>
      </c>
      <c r="B9" s="67" t="inlineStr">
        <is>
          <t>Power source</t>
        </is>
      </c>
      <c r="C9" s="61" t="inlineStr">
        <is>
          <t>Common</t>
        </is>
      </c>
      <c r="D9" s="61" t="n">
        <v>1</v>
      </c>
      <c r="E9" s="61" t="n">
        <v>1</v>
      </c>
      <c r="F9" s="67" t="inlineStr">
        <is>
          <t>+1 invoking power</t>
        </is>
      </c>
      <c r="G9" s="69" t="inlineStr">
        <is>
          <t>no</t>
        </is>
      </c>
    </row>
    <row r="10" ht="15" customHeight="1" s="57">
      <c r="A10" s="64" t="inlineStr">
        <is>
          <t>Sulfur Censer</t>
        </is>
      </c>
      <c r="B10" s="67" t="inlineStr">
        <is>
          <t>Power source</t>
        </is>
      </c>
      <c r="C10" s="61" t="inlineStr">
        <is>
          <t>Common</t>
        </is>
      </c>
      <c r="D10" s="61" t="n">
        <v>2</v>
      </c>
      <c r="E10" s="61" t="n">
        <v>1</v>
      </c>
      <c r="F10" s="67" t="inlineStr">
        <is>
          <t>+2 invoking power</t>
        </is>
      </c>
      <c r="G10" s="69" t="inlineStr">
        <is>
          <t>no</t>
        </is>
      </c>
    </row>
    <row r="11" ht="15" customHeight="1" s="57">
      <c r="A11" s="64" t="inlineStr">
        <is>
          <t>Black Candles</t>
        </is>
      </c>
      <c r="B11" s="67" t="inlineStr">
        <is>
          <t>Enhancer, stackable</t>
        </is>
      </c>
      <c r="C11" s="61" t="inlineStr">
        <is>
          <t>Common</t>
        </is>
      </c>
      <c r="D11" s="61" t="n">
        <v>0</v>
      </c>
      <c r="E11" s="61" t="n">
        <v>5</v>
      </c>
      <c r="F11" s="67" t="inlineStr">
        <is>
          <t>+5% invocation effect per candle</t>
        </is>
      </c>
      <c r="G11" s="69" t="inlineStr">
        <is>
          <t>yes</t>
        </is>
      </c>
    </row>
    <row r="12" ht="15" customHeight="1" s="57">
      <c r="A12" s="64" t="inlineStr">
        <is>
          <t>The Dadu</t>
        </is>
      </c>
      <c r="B12" s="67" t="inlineStr">
        <is>
          <t>Oracular, power source</t>
        </is>
      </c>
      <c r="C12" s="61" t="inlineStr">
        <is>
          <t>Common</t>
        </is>
      </c>
      <c r="D12" s="61" t="n">
        <v>1</v>
      </c>
      <c r="E12" s="61" t="n">
        <v>1</v>
      </c>
      <c r="F12" s="67" t="inlineStr">
        <is>
          <t>reveal Decimatio distribution</t>
        </is>
      </c>
      <c r="G12" s="69" t="inlineStr">
        <is>
          <t>no</t>
        </is>
      </c>
    </row>
    <row r="13" ht="15" customHeight="1" s="57">
      <c r="A13" s="64" t="inlineStr">
        <is>
          <t>Hollow Effigy</t>
        </is>
      </c>
      <c r="B13" s="67" t="inlineStr">
        <is>
          <t>Oracular, power source</t>
        </is>
      </c>
      <c r="C13" s="61" t="inlineStr">
        <is>
          <t>Common</t>
        </is>
      </c>
      <c r="D13" s="61" t="n">
        <v>1</v>
      </c>
      <c r="E13" s="61" t="n">
        <v>1</v>
      </c>
      <c r="F13" s="67" t="inlineStr">
        <is>
          <t>reveal Logos distribution</t>
        </is>
      </c>
      <c r="G13" s="69" t="inlineStr">
        <is>
          <t>no</t>
        </is>
      </c>
    </row>
    <row r="14" ht="15" customHeight="1" s="57">
      <c r="A14" s="64" t="inlineStr">
        <is>
          <t>Black Salt Pouch</t>
        </is>
      </c>
      <c r="B14" s="67" t="inlineStr">
        <is>
          <t>Power source, stackable</t>
        </is>
      </c>
      <c r="C14" s="61" t="inlineStr">
        <is>
          <t>Common</t>
        </is>
      </c>
      <c r="D14" s="61" t="n">
        <v>1</v>
      </c>
      <c r="E14" s="61" t="inlineStr">
        <is>
          <t>∞</t>
        </is>
      </c>
      <c r="F14" s="67" t="inlineStr">
        <is>
          <t>+1 invoking power</t>
        </is>
      </c>
      <c r="G14" s="69" t="inlineStr">
        <is>
          <t>no</t>
        </is>
      </c>
    </row>
    <row r="15" ht="15" customHeight="1" s="57">
      <c r="A15" s="64" t="inlineStr">
        <is>
          <t>Iron Nails</t>
        </is>
      </c>
      <c r="B15" s="67" t="inlineStr">
        <is>
          <t>Power source, stackable</t>
        </is>
      </c>
      <c r="C15" s="61" t="inlineStr">
        <is>
          <t>Common</t>
        </is>
      </c>
      <c r="D15" s="61" t="n">
        <v>1</v>
      </c>
      <c r="E15" s="61" t="inlineStr">
        <is>
          <t>∞</t>
        </is>
      </c>
      <c r="F15" s="67" t="inlineStr">
        <is>
          <t>+1% sigil effects (mult); +1 power</t>
        </is>
      </c>
      <c r="G15" s="69" t="inlineStr">
        <is>
          <t>no</t>
        </is>
      </c>
    </row>
    <row r="16" ht="15" customHeight="1" s="57">
      <c r="A16" s="64" t="inlineStr">
        <is>
          <t>Witch Bottle</t>
        </is>
      </c>
      <c r="B16" s="67" t="inlineStr">
        <is>
          <t>Power source</t>
        </is>
      </c>
      <c r="C16" s="61" t="inlineStr">
        <is>
          <t>Common</t>
        </is>
      </c>
      <c r="D16" s="61" t="n">
        <v>2</v>
      </c>
      <c r="E16" s="61" t="n">
        <v>1</v>
      </c>
      <c r="F16" s="67" t="inlineStr">
        <is>
          <t>+2 invoking power</t>
        </is>
      </c>
      <c r="G16" s="69" t="inlineStr">
        <is>
          <t>no</t>
        </is>
      </c>
    </row>
    <row r="17" ht="15" customHeight="1" s="57">
      <c r="A17" s="64" t="inlineStr">
        <is>
          <t>Crossroads Dirt</t>
        </is>
      </c>
      <c r="B17" s="67" t="inlineStr">
        <is>
          <t>Oracular, power source</t>
        </is>
      </c>
      <c r="C17" s="61" t="inlineStr">
        <is>
          <t>Common</t>
        </is>
      </c>
      <c r="D17" s="61" t="n">
        <v>1</v>
      </c>
      <c r="E17" s="61" t="n">
        <v>1</v>
      </c>
      <c r="F17" s="67" t="inlineStr">
        <is>
          <t>reveal Emptio distribution</t>
        </is>
      </c>
      <c r="G17" s="69" t="inlineStr">
        <is>
          <t>no</t>
        </is>
      </c>
    </row>
    <row r="18" ht="15" customHeight="1" s="57">
      <c r="A18" s="64" t="inlineStr">
        <is>
          <t>Mandrake Root</t>
        </is>
      </c>
      <c r="B18" s="67" t="inlineStr">
        <is>
          <t>Power source</t>
        </is>
      </c>
      <c r="C18" s="61" t="inlineStr">
        <is>
          <t>Common</t>
        </is>
      </c>
      <c r="D18" s="61" t="n">
        <v>2</v>
      </c>
      <c r="E18" s="61" t="n">
        <v>1</v>
      </c>
      <c r="F18" s="67" t="inlineStr">
        <is>
          <t>+2 invoking power</t>
        </is>
      </c>
      <c r="G18" s="69" t="inlineStr">
        <is>
          <t>no</t>
        </is>
      </c>
    </row>
    <row r="19" ht="15" customHeight="1" s="57">
      <c r="A19" s="64" t="inlineStr">
        <is>
          <t>Crow Feather</t>
        </is>
      </c>
      <c r="B19" s="67" t="inlineStr">
        <is>
          <t>Oracular, power source</t>
        </is>
      </c>
      <c r="C19" s="61" t="inlineStr">
        <is>
          <t>Common</t>
        </is>
      </c>
      <c r="D19" s="61" t="n">
        <v>1</v>
      </c>
      <c r="E19" s="61" t="n">
        <v>1</v>
      </c>
      <c r="F19" s="67" t="inlineStr">
        <is>
          <t>reveal Indagatio distribution</t>
        </is>
      </c>
      <c r="G19" s="69" t="inlineStr">
        <is>
          <t>no</t>
        </is>
      </c>
    </row>
    <row r="20" ht="15" customHeight="1" s="57">
      <c r="A20" s="64" t="inlineStr">
        <is>
          <t>Witch Ladder</t>
        </is>
      </c>
      <c r="B20" s="67" t="inlineStr">
        <is>
          <t>Enhancer</t>
        </is>
      </c>
      <c r="C20" s="61" t="inlineStr">
        <is>
          <t>Common</t>
        </is>
      </c>
      <c r="D20" s="61" t="n">
        <v>0</v>
      </c>
      <c r="E20" s="61" t="n">
        <v>1</v>
      </c>
      <c r="F20" s="67" t="inlineStr">
        <is>
          <t>*1.05 suicide rate</t>
        </is>
      </c>
      <c r="G20" s="69" t="inlineStr">
        <is>
          <t>yes</t>
        </is>
      </c>
    </row>
    <row r="21" ht="15" customHeight="1" s="57">
      <c r="A21" s="64" t="inlineStr">
        <is>
          <t>Adder Stone</t>
        </is>
      </c>
      <c r="B21" s="67" t="inlineStr">
        <is>
          <t>Enhancer</t>
        </is>
      </c>
      <c r="C21" s="61" t="inlineStr">
        <is>
          <t>Common</t>
        </is>
      </c>
      <c r="D21" s="61" t="n">
        <v>0</v>
      </c>
      <c r="E21" s="61" t="n">
        <v>1</v>
      </c>
      <c r="F21" s="67" t="inlineStr">
        <is>
          <t>*1.05 reprobate generation</t>
        </is>
      </c>
      <c r="G21" s="69" t="inlineStr">
        <is>
          <t>yes</t>
        </is>
      </c>
    </row>
    <row r="22" ht="15" customHeight="1" s="57">
      <c r="A22" s="64" t="inlineStr">
        <is>
          <t>Poppet</t>
        </is>
      </c>
      <c r="B22" s="67" t="inlineStr">
        <is>
          <t>Enhancer</t>
        </is>
      </c>
      <c r="C22" s="61" t="inlineStr">
        <is>
          <t>Common</t>
        </is>
      </c>
      <c r="D22" s="61" t="n">
        <v>0</v>
      </c>
      <c r="E22" s="61" t="n">
        <v>1</v>
      </c>
      <c r="F22" s="67" t="inlineStr">
        <is>
          <t>*1.05 murder rate</t>
        </is>
      </c>
      <c r="G22" s="69" t="inlineStr">
        <is>
          <t>yes</t>
        </is>
      </c>
    </row>
    <row r="23" ht="15" customHeight="1" s="57">
      <c r="A23" s="64" t="inlineStr">
        <is>
          <t>The Voynich Manuscript</t>
        </is>
      </c>
      <c r="B23" s="67" t="inlineStr">
        <is>
          <t>Enhancer, power source</t>
        </is>
      </c>
      <c r="C23" s="61" t="inlineStr">
        <is>
          <t>Profane</t>
        </is>
      </c>
      <c r="D23" s="61" t="n">
        <v>6</v>
      </c>
      <c r="E23" s="61" t="n">
        <v>1</v>
      </c>
      <c r="F23" s="67" t="inlineStr">
        <is>
          <t>*1.66 Logos efficiency</t>
        </is>
      </c>
      <c r="G23" s="69" t="inlineStr">
        <is>
          <t>yes</t>
        </is>
      </c>
    </row>
    <row r="24" ht="15" customHeight="1" s="57">
      <c r="A24" s="64" t="inlineStr">
        <is>
          <t>Obsidian Mirror</t>
        </is>
      </c>
      <c r="B24" s="67" t="inlineStr">
        <is>
          <t>Oracular, power source</t>
        </is>
      </c>
      <c r="C24" s="61" t="inlineStr">
        <is>
          <t>Profane</t>
        </is>
      </c>
      <c r="D24" s="61" t="n">
        <v>8</v>
      </c>
      <c r="E24" s="61" t="n">
        <v>1</v>
      </c>
      <c r="F24" s="67" t="inlineStr">
        <is>
          <t>reveal ALL Opera distributions</t>
        </is>
      </c>
      <c r="G24" s="69" t="inlineStr">
        <is>
          <t>no</t>
        </is>
      </c>
    </row>
    <row r="25" ht="15" customHeight="1" s="57">
      <c r="A25" s="64" t="inlineStr">
        <is>
          <t>Defixio</t>
        </is>
      </c>
      <c r="B25" s="67" t="inlineStr">
        <is>
          <t>Targeted, stackable</t>
        </is>
      </c>
      <c r="C25" s="61" t="inlineStr">
        <is>
          <t>Profane</t>
        </is>
      </c>
      <c r="D25" s="61" t="n">
        <v>0</v>
      </c>
      <c r="E25" s="61" t="inlineStr">
        <is>
          <t>∞</t>
        </is>
      </c>
      <c r="F25" s="67" t="inlineStr">
        <is>
          <t>Single-use: culls reprobates, e^s ramp</t>
        </is>
      </c>
      <c r="G25" s="69" t="inlineStr">
        <is>
          <t>yes</t>
        </is>
      </c>
    </row>
    <row r="26" ht="15" customHeight="1" s="57">
      <c r="A26" s="64" t="inlineStr">
        <is>
          <t>Galdrabók</t>
        </is>
      </c>
      <c r="B26" s="67" t="inlineStr">
        <is>
          <t>Enhancer</t>
        </is>
      </c>
      <c r="C26" s="61" t="inlineStr">
        <is>
          <t>Profane</t>
        </is>
      </c>
      <c r="D26" s="61" t="n">
        <v>0</v>
      </c>
      <c r="E26" s="61" t="n">
        <v>1</v>
      </c>
      <c r="F26" s="67" t="inlineStr">
        <is>
          <t>*1.15 murder rate</t>
        </is>
      </c>
      <c r="G26" s="69" t="inlineStr">
        <is>
          <t>yes</t>
        </is>
      </c>
    </row>
    <row r="27" ht="15" customHeight="1" s="57">
      <c r="A27" s="64" t="inlineStr">
        <is>
          <t>Codex Gigas</t>
        </is>
      </c>
      <c r="B27" s="67" t="inlineStr">
        <is>
          <t>Enhancer</t>
        </is>
      </c>
      <c r="C27" s="61" t="inlineStr">
        <is>
          <t>Profane</t>
        </is>
      </c>
      <c r="D27" s="61" t="n">
        <v>0</v>
      </c>
      <c r="E27" s="61" t="n">
        <v>1</v>
      </c>
      <c r="F27" s="67" t="inlineStr">
        <is>
          <t>x1.33 influence gain rate</t>
        </is>
      </c>
      <c r="G27" s="69" t="inlineStr">
        <is>
          <t>yes</t>
        </is>
      </c>
    </row>
    <row r="28" ht="15" customHeight="1" s="57">
      <c r="A28" s="64" t="inlineStr">
        <is>
          <t>Ars Serpens</t>
        </is>
      </c>
      <c r="B28" s="67" t="inlineStr">
        <is>
          <t>Enhancer, power source</t>
        </is>
      </c>
      <c r="C28" s="61" t="inlineStr">
        <is>
          <t>Rare</t>
        </is>
      </c>
      <c r="D28" s="61" t="n">
        <v>2</v>
      </c>
      <c r="E28" s="61" t="n">
        <v>1</v>
      </c>
      <c r="F28" s="67" t="inlineStr">
        <is>
          <t>*1.33 Logos efficiency</t>
        </is>
      </c>
      <c r="G28" s="69" t="inlineStr">
        <is>
          <t>yes</t>
        </is>
      </c>
    </row>
    <row r="29" ht="15" customHeight="1" s="57">
      <c r="A29" s="64" t="inlineStr">
        <is>
          <t>Ritual Dagger</t>
        </is>
      </c>
      <c r="B29" s="67" t="inlineStr">
        <is>
          <t>Enhancer, power source</t>
        </is>
      </c>
      <c r="C29" s="61" t="inlineStr">
        <is>
          <t>Rare</t>
        </is>
      </c>
      <c r="D29" s="61" t="n">
        <v>2</v>
      </c>
      <c r="E29" s="61" t="n">
        <v>1</v>
      </c>
      <c r="F29" s="67" t="inlineStr">
        <is>
          <t>*1.33 Decimatio efficiency</t>
        </is>
      </c>
      <c r="G29" s="69" t="inlineStr">
        <is>
          <t>yes</t>
        </is>
      </c>
    </row>
    <row r="30" ht="15" customHeight="1" s="57">
      <c r="A30" s="64" t="inlineStr">
        <is>
          <t>Blood Chalk</t>
        </is>
      </c>
      <c r="B30" s="67" t="inlineStr">
        <is>
          <t>Power source</t>
        </is>
      </c>
      <c r="C30" s="61" t="inlineStr">
        <is>
          <t>Rare</t>
        </is>
      </c>
      <c r="D30" s="61" t="n">
        <v>4</v>
      </c>
      <c r="E30" s="61" t="n">
        <v>1</v>
      </c>
      <c r="F30" s="67" t="inlineStr">
        <is>
          <t>+4 invoking power</t>
        </is>
      </c>
      <c r="G30" s="69" t="inlineStr">
        <is>
          <t>no</t>
        </is>
      </c>
    </row>
    <row r="31" ht="15" customHeight="1" s="57">
      <c r="A31" s="64" t="inlineStr">
        <is>
          <t>Blackthorn Wand</t>
        </is>
      </c>
      <c r="B31" s="67" t="inlineStr">
        <is>
          <t>Power source</t>
        </is>
      </c>
      <c r="C31" s="61" t="inlineStr">
        <is>
          <t>Rare</t>
        </is>
      </c>
      <c r="D31" s="61" t="n">
        <v>4</v>
      </c>
      <c r="E31" s="61" t="n">
        <v>1</v>
      </c>
      <c r="F31" s="67" t="inlineStr">
        <is>
          <t>+4 invoking power</t>
        </is>
      </c>
      <c r="G31" s="69" t="inlineStr">
        <is>
          <t>no</t>
        </is>
      </c>
    </row>
    <row r="32" ht="23.25" customHeight="1" s="57">
      <c r="A32" s="64" t="inlineStr">
        <is>
          <t>Hand of Glory</t>
        </is>
      </c>
      <c r="B32" s="67" t="inlineStr">
        <is>
          <t>Targeted, stackable</t>
        </is>
      </c>
      <c r="C32" s="61" t="inlineStr">
        <is>
          <t>Rare</t>
        </is>
      </c>
      <c r="D32" s="61" t="n">
        <v>0</v>
      </c>
      <c r="E32" s="61" t="inlineStr">
        <is>
          <t>∞</t>
        </is>
      </c>
      <c r="F32" s="67" t="inlineStr">
        <is>
          <t>single-use: +100% reprobate generation rate for 1h</t>
        </is>
      </c>
      <c r="G32" s="69" t="inlineStr">
        <is>
          <t>yes</t>
        </is>
      </c>
    </row>
    <row r="33" ht="15" customHeight="1" s="57">
      <c r="A33" s="64" t="inlineStr">
        <is>
          <t>Dybbuk Box</t>
        </is>
      </c>
      <c r="B33" s="67" t="inlineStr">
        <is>
          <t>Power source</t>
        </is>
      </c>
      <c r="C33" s="61" t="inlineStr">
        <is>
          <t>Rare</t>
        </is>
      </c>
      <c r="D33" s="61" t="n">
        <v>3</v>
      </c>
      <c r="E33" s="61" t="n">
        <v>1</v>
      </c>
      <c r="F33" s="67" t="inlineStr">
        <is>
          <t>+3 invoking power</t>
        </is>
      </c>
      <c r="G33" s="69" t="inlineStr">
        <is>
          <t>no</t>
        </is>
      </c>
    </row>
    <row r="35" ht="15" customHeight="1" s="57">
      <c r="A35" s="58" t="inlineStr">
        <is>
          <t>Maleficium rarity</t>
        </is>
      </c>
      <c r="B35" s="58" t="inlineStr">
        <is>
          <t>Price (gold)</t>
        </is>
      </c>
    </row>
    <row r="36" ht="15" customHeight="1" s="57">
      <c r="A36" s="64" t="inlineStr">
        <is>
          <t>Anathema</t>
        </is>
      </c>
      <c r="B36" s="67" t="inlineStr">
        <is>
          <t>Randint(66666, 93456)</t>
        </is>
      </c>
    </row>
    <row r="37" ht="15" customHeight="1" s="57">
      <c r="A37" s="64" t="inlineStr">
        <is>
          <t>Profane</t>
        </is>
      </c>
      <c r="B37" s="67" t="inlineStr">
        <is>
          <t>Randint(6666, 23754)</t>
        </is>
      </c>
    </row>
    <row r="38" ht="15" customHeight="1" s="57">
      <c r="A38" s="64" t="inlineStr">
        <is>
          <t>Rare</t>
        </is>
      </c>
      <c r="B38" s="67" t="inlineStr">
        <is>
          <t>Randint(1000, 3333)</t>
        </is>
      </c>
    </row>
    <row r="39" ht="15" customHeight="1" s="57">
      <c r="A39" s="64" t="inlineStr">
        <is>
          <t>Common</t>
        </is>
      </c>
      <c r="B39" s="67" t="inlineStr">
        <is>
          <t>Randint(100, 1000)</t>
        </is>
      </c>
    </row>
  </sheetData>
  <autoFilter ref="A4:G3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J2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C23" activeCellId="0" sqref="C23"/>
    </sheetView>
  </sheetViews>
  <sheetFormatPr baseColWidth="8" defaultColWidth="8.6796875" defaultRowHeight="15" zeroHeight="0" outlineLevelRow="0"/>
  <cols>
    <col width="14" customWidth="1" style="56" min="1" max="1"/>
    <col width="11" customWidth="1" style="56" min="2" max="2"/>
    <col width="10" customWidth="1" style="56" min="3" max="3"/>
    <col width="17.67" customWidth="1" style="56" min="4" max="4"/>
    <col width="10" customWidth="1" style="56" min="5" max="5"/>
    <col width="20" customWidth="1" style="56" min="6" max="6"/>
    <col width="40" customWidth="1" style="56" min="7" max="7"/>
    <col width="16" customWidth="1" style="56" min="8" max="8"/>
    <col width="79.56999999999999" customWidth="1" style="56" min="9" max="9"/>
    <col width="18.22" customWidth="1" style="56" min="10" max="10"/>
    <col width="11.53" customWidth="1" style="56" min="16384" max="16384"/>
  </cols>
  <sheetData>
    <row r="1" ht="19.5" customHeight="1" s="57">
      <c r="A1" s="65" t="inlineStr">
        <is>
          <t>Invocatio — Summoning</t>
        </is>
      </c>
    </row>
    <row r="2" ht="15" customHeight="1" s="57">
      <c r="A2" s="66" t="inlineStr">
        <is>
          <t>Persistent unless noted; all dispelled on Katabasis. You can only have one Apex invocation active. You can only have one Familiar invocation active. You can have any number of normal invocations active. All invocations visually disappear when dispelled.</t>
        </is>
      </c>
    </row>
    <row r="4" ht="70.5" customHeight="1" s="57">
      <c r="A4" s="58" t="inlineStr">
        <is>
          <t>Invocation</t>
        </is>
      </c>
      <c r="B4" s="58" t="inlineStr">
        <is>
          <t>Cardinal Sin</t>
        </is>
      </c>
      <c r="C4" s="58" t="inlineStr">
        <is>
          <t>Invoking power required</t>
        </is>
      </c>
      <c r="D4" s="58" t="inlineStr">
        <is>
          <t>Sin lvl</t>
        </is>
      </c>
      <c r="E4" s="58" t="inlineStr">
        <is>
          <t>Type</t>
        </is>
      </c>
      <c r="F4" s="58" t="inlineStr">
        <is>
          <t>Cost</t>
        </is>
      </c>
      <c r="G4" s="58" t="inlineStr">
        <is>
          <t>Effect (summary)</t>
        </is>
      </c>
      <c r="H4" s="58" t="inlineStr">
        <is>
          <t>Efficiency (compared to player base efficiency)</t>
        </is>
      </c>
      <c r="I4" s="58" t="inlineStr">
        <is>
          <t>Visually displayed once invoked?</t>
        </is>
      </c>
      <c r="J4" s="58" t="inlineStr">
        <is>
          <t>Idle movement?</t>
        </is>
      </c>
    </row>
    <row r="5" ht="23.25" customHeight="1" s="57">
      <c r="A5" s="100" t="inlineStr">
        <is>
          <t>Familiar</t>
        </is>
      </c>
      <c r="B5" s="61" t="inlineStr">
        <is>
          <t>—</t>
        </is>
      </c>
      <c r="C5" s="61" t="inlineStr">
        <is>
          <t>≥2</t>
        </is>
      </c>
      <c r="D5" s="61" t="inlineStr">
        <is>
          <t>—</t>
        </is>
      </c>
      <c r="E5" s="61" t="inlineStr">
        <is>
          <t>Special</t>
        </is>
      </c>
      <c r="F5" s="101" t="inlineStr">
        <is>
          <t>none</t>
        </is>
      </c>
      <c r="G5" s="101" t="inlineStr">
        <is>
          <t>Flat +33% player eff; Familiar action efficiency applies to Indagatio.</t>
        </is>
      </c>
      <c r="H5" s="62">
        <f>0.2*Globals!$B$10</f>
        <v/>
      </c>
      <c r="I5" s="62" t="inlineStr">
        <is>
          <t>Always in the Studio, sitting besides the door.</t>
        </is>
      </c>
      <c r="J5" s="62" t="inlineStr">
        <is>
          <t>No</t>
        </is>
      </c>
    </row>
    <row r="6" ht="23.25" customHeight="1" s="57">
      <c r="A6" s="100" t="inlineStr">
        <is>
          <t>Lemure</t>
        </is>
      </c>
      <c r="B6" s="61" t="inlineStr">
        <is>
          <t>Acedia</t>
        </is>
      </c>
      <c r="C6" s="61" t="inlineStr">
        <is>
          <t>≥3</t>
        </is>
      </c>
      <c r="D6" s="61" t="inlineStr">
        <is>
          <t>Acedia 1</t>
        </is>
      </c>
      <c r="E6" s="61" t="inlineStr">
        <is>
          <t>Normal</t>
        </is>
      </c>
      <c r="F6" s="101" t="inlineStr">
        <is>
          <t>1% of max influence / s</t>
        </is>
      </c>
      <c r="G6" s="101" t="inlineStr">
        <is>
          <t>Action efficiency applies as additive offline gain rate</t>
        </is>
      </c>
      <c r="H6" s="62">
        <f>0.5*Globals!$B$10</f>
        <v/>
      </c>
      <c r="I6" s="62" t="inlineStr">
        <is>
          <t>In the Altar room.</t>
        </is>
      </c>
      <c r="J6" s="62" t="inlineStr">
        <is>
          <t>No</t>
        </is>
      </c>
    </row>
    <row r="7" ht="23.25" customHeight="1" s="57">
      <c r="A7" s="100" t="inlineStr">
        <is>
          <t>Morpheus</t>
        </is>
      </c>
      <c r="B7" s="61" t="inlineStr">
        <is>
          <t>Acedia</t>
        </is>
      </c>
      <c r="C7" s="61" t="inlineStr">
        <is>
          <t>≥10</t>
        </is>
      </c>
      <c r="D7" s="61" t="inlineStr">
        <is>
          <t>Acedia 3</t>
        </is>
      </c>
      <c r="E7" s="61" t="inlineStr">
        <is>
          <t>Apex</t>
        </is>
      </c>
      <c r="F7" s="101" t="inlineStr">
        <is>
          <t>90% current souls &amp; gold</t>
        </is>
      </c>
      <c r="G7" s="101" t="inlineStr">
        <is>
          <t>full freeze; next Katabasis 100% gold/maleficia, keep Emptio list.</t>
        </is>
      </c>
      <c r="H7" s="61" t="inlineStr">
        <is>
          <t>-</t>
        </is>
      </c>
      <c r="I7" s="62" t="inlineStr">
        <is>
          <t>Floating over the Altar in the Altar room, always if active. Overrides other invocations visually.</t>
        </is>
      </c>
      <c r="J7" s="62" t="inlineStr">
        <is>
          <t>Yes</t>
        </is>
      </c>
    </row>
    <row r="8" ht="23.25" customHeight="1" s="57">
      <c r="A8" s="100" t="inlineStr">
        <is>
          <t>Plutus</t>
        </is>
      </c>
      <c r="B8" s="61" t="inlineStr">
        <is>
          <t>Avaritia</t>
        </is>
      </c>
      <c r="C8" s="61" t="inlineStr">
        <is>
          <t>≥5</t>
        </is>
      </c>
      <c r="D8" s="61" t="inlineStr">
        <is>
          <t>Avaritia 2</t>
        </is>
      </c>
      <c r="E8" s="61" t="inlineStr">
        <is>
          <t>Normal</t>
        </is>
      </c>
      <c r="F8" s="101" t="inlineStr">
        <is>
          <t>3 infl/s</t>
        </is>
      </c>
      <c r="G8" s="101" t="inlineStr">
        <is>
          <t>Action efficiency applies as increase to Vitium Mercatura output</t>
        </is>
      </c>
      <c r="H8" s="62">
        <f>1*Globals!$B$10</f>
        <v/>
      </c>
      <c r="I8" s="62" t="inlineStr">
        <is>
          <t>10% times in the Studio.</t>
        </is>
      </c>
      <c r="J8" s="62" t="inlineStr">
        <is>
          <t>No</t>
        </is>
      </c>
    </row>
    <row r="9" ht="15" customHeight="1" s="57">
      <c r="A9" s="100" t="inlineStr">
        <is>
          <t>Midas</t>
        </is>
      </c>
      <c r="B9" s="61" t="inlineStr">
        <is>
          <t>Avaritia</t>
        </is>
      </c>
      <c r="C9" s="61" t="inlineStr">
        <is>
          <t>≥7</t>
        </is>
      </c>
      <c r="D9" s="61" t="inlineStr">
        <is>
          <t>Avaritia 3</t>
        </is>
      </c>
      <c r="E9" s="61" t="inlineStr">
        <is>
          <t>Apex</t>
        </is>
      </c>
      <c r="F9" s="101" t="inlineStr">
        <is>
          <t>-</t>
        </is>
      </c>
      <c r="G9" s="101" t="inlineStr">
        <is>
          <t>x3 gold gain; x33 Apocalyptic chance</t>
        </is>
      </c>
      <c r="H9" s="61" t="inlineStr">
        <is>
          <t>-</t>
        </is>
      </c>
      <c r="I9" s="62" t="inlineStr">
        <is>
          <t>10% times in the Studio.</t>
        </is>
      </c>
      <c r="J9" s="62" t="inlineStr">
        <is>
          <t>No</t>
        </is>
      </c>
    </row>
    <row r="10" ht="15" customHeight="1" s="57">
      <c r="A10" s="100" t="inlineStr">
        <is>
          <t>Upir</t>
        </is>
      </c>
      <c r="B10" s="61" t="inlineStr">
        <is>
          <t>Gula</t>
        </is>
      </c>
      <c r="C10" s="61" t="inlineStr">
        <is>
          <t>≥3</t>
        </is>
      </c>
      <c r="D10" s="61" t="inlineStr">
        <is>
          <t>Gula 1</t>
        </is>
      </c>
      <c r="E10" s="61" t="inlineStr">
        <is>
          <t>Normal</t>
        </is>
      </c>
      <c r="F10" s="101" t="inlineStr">
        <is>
          <t>1 infl/s</t>
        </is>
      </c>
      <c r="G10" s="101" t="inlineStr">
        <is>
          <t>Upir action efficiency applies to Caedis</t>
        </is>
      </c>
      <c r="H10" s="62">
        <f>1*Globals!$B$10</f>
        <v/>
      </c>
      <c r="I10" s="62" t="inlineStr">
        <is>
          <t>10% times in the invocation room</t>
        </is>
      </c>
      <c r="J10" s="62" t="inlineStr">
        <is>
          <t>No</t>
        </is>
      </c>
    </row>
    <row r="11" ht="34.5" customHeight="1" s="57">
      <c r="A11" s="100" t="inlineStr">
        <is>
          <t>Aurevora</t>
        </is>
      </c>
      <c r="B11" s="61" t="inlineStr">
        <is>
          <t>Gula</t>
        </is>
      </c>
      <c r="C11" s="61" t="inlineStr">
        <is>
          <t>≥7</t>
        </is>
      </c>
      <c r="D11" s="61" t="inlineStr">
        <is>
          <t>Gula 3</t>
        </is>
      </c>
      <c r="E11" s="61" t="inlineStr">
        <is>
          <t>Apex</t>
        </is>
      </c>
      <c r="F11" s="101" t="inlineStr">
        <is>
          <t>(1% * e^s) gold/s</t>
        </is>
      </c>
      <c r="G11" s="101" t="inlineStr">
        <is>
          <t>Eats 10 gold/s rising exponentially with time, one tenth of the exponential is applied as an increase to player action efficiency; dispel at 0 gold</t>
        </is>
      </c>
      <c r="H11" s="61" t="inlineStr">
        <is>
          <t>-</t>
        </is>
      </c>
      <c r="I11" s="102" t="inlineStr">
        <is>
          <t>Immediately when invoked, overrides other invocations in the room.</t>
        </is>
      </c>
      <c r="J11" s="62" t="inlineStr">
        <is>
          <t>No</t>
        </is>
      </c>
    </row>
    <row r="12" ht="15" customHeight="1" s="57">
      <c r="A12" s="100" t="inlineStr">
        <is>
          <t>Imp</t>
        </is>
      </c>
      <c r="B12" s="61" t="inlineStr">
        <is>
          <t>Ira</t>
        </is>
      </c>
      <c r="C12" s="61" t="inlineStr">
        <is>
          <t>≥2</t>
        </is>
      </c>
      <c r="D12" s="61" t="inlineStr">
        <is>
          <t>Ira 1</t>
        </is>
      </c>
      <c r="E12" s="61" t="inlineStr">
        <is>
          <t>Normal</t>
        </is>
      </c>
      <c r="F12" s="101" t="inlineStr">
        <is>
          <t>10 gold /s</t>
        </is>
      </c>
      <c r="G12" s="101" t="inlineStr">
        <is>
          <t>Imp action efficiency applies to Caedis</t>
        </is>
      </c>
      <c r="H12" s="62">
        <f>1*Globals!$B$10</f>
        <v/>
      </c>
      <c r="I12" s="62" t="n"/>
      <c r="J12" s="62" t="inlineStr">
        <is>
          <t>No</t>
        </is>
      </c>
    </row>
    <row r="13" ht="15" customHeight="1" s="57">
      <c r="A13" s="100" t="inlineStr">
        <is>
          <t>Harpy</t>
        </is>
      </c>
      <c r="B13" s="61" t="inlineStr">
        <is>
          <t>Ira</t>
        </is>
      </c>
      <c r="C13" s="61" t="inlineStr">
        <is>
          <t>≥4</t>
        </is>
      </c>
      <c r="D13" s="61" t="inlineStr">
        <is>
          <t>Ira 2</t>
        </is>
      </c>
      <c r="E13" s="61" t="inlineStr">
        <is>
          <t>Normal</t>
        </is>
      </c>
      <c r="F13" s="101" t="inlineStr">
        <is>
          <t>5 infl/s</t>
        </is>
      </c>
      <c r="G13" s="101" t="inlineStr">
        <is>
          <t>Action efficiency applies as to Progrom</t>
        </is>
      </c>
      <c r="H13" s="62">
        <f>1*Globals!$B$10</f>
        <v/>
      </c>
      <c r="I13" s="62" t="inlineStr">
        <is>
          <t>10% times in the Studio window.</t>
        </is>
      </c>
      <c r="J13" s="62" t="inlineStr">
        <is>
          <t>No</t>
        </is>
      </c>
    </row>
    <row r="14" ht="34.5" customHeight="1" s="57">
      <c r="A14" s="100" t="inlineStr">
        <is>
          <t>Erinyes</t>
        </is>
      </c>
      <c r="B14" s="61" t="inlineStr">
        <is>
          <t>Ira</t>
        </is>
      </c>
      <c r="C14" s="61" t="inlineStr">
        <is>
          <t>≥10</t>
        </is>
      </c>
      <c r="D14" s="61" t="inlineStr">
        <is>
          <t>Ira 3</t>
        </is>
      </c>
      <c r="E14" s="61" t="inlineStr">
        <is>
          <t>Apex</t>
        </is>
      </c>
      <c r="F14" s="101" t="inlineStr">
        <is>
          <t>-</t>
        </is>
      </c>
      <c r="G14" s="101" t="inlineStr">
        <is>
          <t>kill all reprobates; next Katabasis 0% gold and maleficia remaining; x2 overall action efficiency permanently;</t>
        </is>
      </c>
      <c r="H14" s="61" t="inlineStr">
        <is>
          <t>-</t>
        </is>
      </c>
      <c r="I14" s="62" t="inlineStr">
        <is>
          <t>In the Altar room, always if active. Overrides other invocations visually.</t>
        </is>
      </c>
      <c r="J14" s="62" t="inlineStr">
        <is>
          <t>No</t>
        </is>
      </c>
    </row>
    <row r="15" ht="15" customHeight="1" s="57">
      <c r="A15" s="100" t="inlineStr">
        <is>
          <t>Lamia</t>
        </is>
      </c>
      <c r="B15" s="61" t="inlineStr">
        <is>
          <t>Luxuria</t>
        </is>
      </c>
      <c r="C15" s="61" t="inlineStr">
        <is>
          <t>≥4</t>
        </is>
      </c>
      <c r="D15" s="61" t="inlineStr">
        <is>
          <t>Luxuria 2</t>
        </is>
      </c>
      <c r="E15" s="61" t="inlineStr">
        <is>
          <t>Normal</t>
        </is>
      </c>
      <c r="F15" s="101" t="inlineStr">
        <is>
          <t>3 infl/s</t>
        </is>
      </c>
      <c r="G15" s="101" t="inlineStr">
        <is>
          <t>Lamia action efficiency applies to Logismoi</t>
        </is>
      </c>
      <c r="H15" s="62">
        <f>1*Globals!$B$10</f>
        <v/>
      </c>
      <c r="I15" s="62" t="inlineStr">
        <is>
          <t>Immediately when invoked, cannot visually show more than 1</t>
        </is>
      </c>
      <c r="J15" s="62" t="inlineStr">
        <is>
          <t>No</t>
        </is>
      </c>
    </row>
    <row r="16" ht="23.25" customHeight="1" s="57">
      <c r="A16" s="100" t="inlineStr">
        <is>
          <t>Succubus</t>
        </is>
      </c>
      <c r="B16" s="61" t="inlineStr">
        <is>
          <t>Luxuria</t>
        </is>
      </c>
      <c r="C16" s="61" t="inlineStr">
        <is>
          <t>≥9</t>
        </is>
      </c>
      <c r="D16" s="61" t="inlineStr">
        <is>
          <t>Luxuria 3</t>
        </is>
      </c>
      <c r="E16" s="61" t="inlineStr">
        <is>
          <t>Apex</t>
        </is>
      </c>
      <c r="F16" s="101" t="inlineStr">
        <is>
          <t>99% current gold gain / s</t>
        </is>
      </c>
      <c r="G16" s="101" t="inlineStr">
        <is>
          <t>Succubus action efficiency applies to Imperium</t>
        </is>
      </c>
      <c r="H16" s="74">
        <f>19.8*Globals!$B$10</f>
        <v/>
      </c>
      <c r="I16" s="74" t="inlineStr">
        <is>
          <t>10% times in the invocation room</t>
        </is>
      </c>
      <c r="J16" s="62" t="inlineStr">
        <is>
          <t>No</t>
        </is>
      </c>
    </row>
    <row r="17" ht="23.25" customHeight="1" s="57">
      <c r="A17" s="100" t="inlineStr">
        <is>
          <t>Behemoth</t>
        </is>
      </c>
      <c r="B17" s="61" t="inlineStr">
        <is>
          <t>Superbia</t>
        </is>
      </c>
      <c r="C17" s="61" t="inlineStr">
        <is>
          <t>≥2</t>
        </is>
      </c>
      <c r="D17" s="61" t="inlineStr">
        <is>
          <t>Superbia 1</t>
        </is>
      </c>
      <c r="E17" s="61" t="inlineStr">
        <is>
          <t>Normal</t>
        </is>
      </c>
      <c r="F17" s="101" t="inlineStr">
        <is>
          <t>5% current gold and influcence gain / s</t>
        </is>
      </c>
      <c r="G17" s="101" t="inlineStr">
        <is>
          <t>Action efficiency applies as additive increase to Stellar chance across Opera</t>
        </is>
      </c>
      <c r="H17" s="63">
        <f>0.001*Globals!$B$10</f>
        <v/>
      </c>
      <c r="I17" s="62" t="n"/>
      <c r="J17" s="62" t="inlineStr">
        <is>
          <t>No</t>
        </is>
      </c>
    </row>
    <row r="18" ht="23.25" customHeight="1" s="57">
      <c r="A18" s="100" t="inlineStr">
        <is>
          <t>Doppelgaenger</t>
        </is>
      </c>
      <c r="B18" s="61" t="inlineStr">
        <is>
          <t>Superbia</t>
        </is>
      </c>
      <c r="C18" s="61" t="inlineStr">
        <is>
          <t>≥8</t>
        </is>
      </c>
      <c r="D18" s="61" t="inlineStr">
        <is>
          <t>Superbia 3</t>
        </is>
      </c>
      <c r="E18" s="61" t="inlineStr">
        <is>
          <t>Apex</t>
        </is>
      </c>
      <c r="F18" s="101" t="inlineStr">
        <is>
          <t>50% current influence gain/s</t>
        </is>
      </c>
      <c r="G18" s="101" t="inlineStr">
        <is>
          <t>+50% player efficiency</t>
        </is>
      </c>
      <c r="H18" s="61" t="inlineStr">
        <is>
          <t>-</t>
        </is>
      </c>
      <c r="I18" s="62" t="n"/>
      <c r="J18" s="62" t="inlineStr">
        <is>
          <t>No</t>
        </is>
      </c>
    </row>
    <row r="19" ht="23.25" customHeight="1" s="57">
      <c r="A19" s="100" t="inlineStr">
        <is>
          <t>Nightmare</t>
        </is>
      </c>
      <c r="B19" s="61" t="inlineStr">
        <is>
          <t>Tristitia</t>
        </is>
      </c>
      <c r="C19" s="61" t="inlineStr">
        <is>
          <t>≥3</t>
        </is>
      </c>
      <c r="D19" s="61" t="inlineStr">
        <is>
          <t>Tristitia 1</t>
        </is>
      </c>
      <c r="E19" s="61" t="inlineStr">
        <is>
          <t>Normal</t>
        </is>
      </c>
      <c r="F19" s="101" t="inlineStr">
        <is>
          <t>3 infl/s</t>
        </is>
      </c>
      <c r="G19" s="101" t="inlineStr">
        <is>
          <t>Action efficiency applies as additive increase to base suicide rate</t>
        </is>
      </c>
      <c r="H19" s="63">
        <f>0.001*Globals!$B$10</f>
        <v/>
      </c>
      <c r="I19" s="62" t="inlineStr">
        <is>
          <t>In the Altar room.</t>
        </is>
      </c>
      <c r="J19" s="62" t="inlineStr">
        <is>
          <t>No</t>
        </is>
      </c>
    </row>
    <row r="20" ht="23.25" customHeight="1" s="57">
      <c r="A20" s="100" t="inlineStr">
        <is>
          <t>Astiwihad</t>
        </is>
      </c>
      <c r="B20" s="61" t="inlineStr">
        <is>
          <t>Tristitia</t>
        </is>
      </c>
      <c r="C20" s="61" t="inlineStr">
        <is>
          <t>≥10</t>
        </is>
      </c>
      <c r="D20" s="61" t="inlineStr">
        <is>
          <t>Tristitia 3</t>
        </is>
      </c>
      <c r="E20" s="61" t="inlineStr">
        <is>
          <t>Apex</t>
        </is>
      </c>
      <c r="F20" s="101" t="inlineStr">
        <is>
          <t>100% current influence gain/s</t>
        </is>
      </c>
      <c r="G20" s="101" t="inlineStr">
        <is>
          <t>0.01%/s chance all reprobates suicide</t>
        </is>
      </c>
      <c r="H20" s="62" t="inlineStr">
        <is>
          <t>-%</t>
        </is>
      </c>
      <c r="I20" s="62" t="inlineStr">
        <is>
          <t>In the Altar room.</t>
        </is>
      </c>
      <c r="J20" s="62" t="inlineStr">
        <is>
          <t>No</t>
        </is>
      </c>
    </row>
    <row r="21" ht="23.25" customHeight="1" s="57">
      <c r="A21" s="100" t="inlineStr">
        <is>
          <t>Fama</t>
        </is>
      </c>
      <c r="B21" s="61" t="inlineStr">
        <is>
          <t>Vanagloria</t>
        </is>
      </c>
      <c r="C21" s="61" t="inlineStr">
        <is>
          <t>≥3</t>
        </is>
      </c>
      <c r="D21" s="61" t="inlineStr">
        <is>
          <t>Vanagloria 1</t>
        </is>
      </c>
      <c r="E21" s="61" t="inlineStr">
        <is>
          <t>Normal</t>
        </is>
      </c>
      <c r="F21" s="101" t="inlineStr">
        <is>
          <t>25% current gold / s</t>
        </is>
      </c>
      <c r="G21" s="101" t="inlineStr">
        <is>
          <t>Fama action efficiency applies as additive increase to influence gain rate</t>
        </is>
      </c>
      <c r="H21" s="62">
        <f>1*Globals!$B$10</f>
        <v/>
      </c>
      <c r="I21" s="62" t="n"/>
      <c r="J21" s="62" t="inlineStr">
        <is>
          <t>No</t>
        </is>
      </c>
    </row>
    <row r="22" ht="23.25" customHeight="1" s="57">
      <c r="A22" s="100" t="inlineStr">
        <is>
          <t>Specunitas</t>
        </is>
      </c>
      <c r="B22" s="61" t="inlineStr">
        <is>
          <t>Vanagloria</t>
        </is>
      </c>
      <c r="C22" s="61" t="inlineStr">
        <is>
          <t>≥9</t>
        </is>
      </c>
      <c r="D22" s="61" t="inlineStr">
        <is>
          <t>Vanagloria 3</t>
        </is>
      </c>
      <c r="E22" s="61" t="inlineStr">
        <is>
          <t>Apex</t>
        </is>
      </c>
      <c r="F22" s="101" t="inlineStr">
        <is>
          <t>99% current gold gain / s</t>
        </is>
      </c>
      <c r="G22" s="101" t="inlineStr">
        <is>
          <t>X2 influence gain / s</t>
        </is>
      </c>
      <c r="H22" s="61" t="inlineStr">
        <is>
          <t>-</t>
        </is>
      </c>
      <c r="I22" s="62" t="inlineStr">
        <is>
          <t>10% times in the Studio.</t>
        </is>
      </c>
      <c r="J22" s="62" t="inlineStr">
        <is>
          <t>No</t>
        </is>
      </c>
    </row>
  </sheetData>
  <autoFilter ref="A4:J2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4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35" activePane="bottomLeft" state="frozen"/>
      <selection pane="topLeft" activeCell="A1" activeCellId="0" sqref="A1"/>
      <selection pane="bottomLeft" activeCell="B42" activeCellId="0" sqref="B42"/>
    </sheetView>
  </sheetViews>
  <sheetFormatPr baseColWidth="8" defaultColWidth="8.6796875" defaultRowHeight="13.5" zeroHeight="0" outlineLevelRow="0"/>
  <cols>
    <col width="47.16" customWidth="1" style="56" min="1" max="1"/>
    <col width="16" customWidth="1" style="56" min="2" max="2"/>
    <col width="70" customWidth="1" style="56" min="3" max="3"/>
    <col width="12" customWidth="1" style="56" min="4" max="4"/>
    <col width="15" customWidth="1" style="56" min="5" max="5"/>
    <col width="12" customWidth="1" style="56" min="6" max="6"/>
    <col width="15" customWidth="1" style="56" min="7" max="7"/>
    <col width="16" customWidth="1" style="56" min="8" max="8"/>
    <col width="11.53" customWidth="1" style="56" min="16383" max="16384"/>
  </cols>
  <sheetData>
    <row r="1" ht="19.5" customHeight="1" s="57">
      <c r="A1" s="103" t="inlineStr">
        <is>
          <t>Vitium Mercatura — the Mercatus system (eight trades, exactly one per Cardinal Sin)</t>
        </is>
      </c>
    </row>
    <row r="2" ht="13.5" customHeight="1" s="57">
      <c r="A2" s="104" t="inlineStr">
        <is>
          <t>Replaces the legacy 32-business catalog. Each trade has one integer depth d ≥ 0; deepening is an instant gold purchase. Source: docs/vm-vc-redesign-spec.md</t>
        </is>
      </c>
    </row>
    <row r="4" ht="13.5" customHeight="1" s="57">
      <c r="A4" s="103" t="inlineStr">
        <is>
          <t>Constant</t>
        </is>
      </c>
      <c r="B4" s="103" t="inlineStr">
        <is>
          <t>Value</t>
        </is>
      </c>
      <c r="C4" s="103" t="inlineStr">
        <is>
          <t>Unit / note</t>
        </is>
      </c>
    </row>
    <row r="5" ht="13.5" customHeight="1" s="57">
      <c r="A5" s="104" t="inlineStr">
        <is>
          <t>Invest cost seed (C0)</t>
        </is>
      </c>
      <c r="B5" s="104" t="n">
        <v>50</v>
      </c>
      <c r="C5" s="104" t="inlineStr">
        <is>
          <t>gold — depth 0 → 1 costs floor(C0)</t>
        </is>
      </c>
    </row>
    <row r="6" ht="13.5" customHeight="1" s="57">
      <c r="A6" s="104" t="inlineStr">
        <is>
          <t>Invest cost ratio (r)</t>
        </is>
      </c>
      <c r="B6" s="104" t="n">
        <v>1.6</v>
      </c>
      <c r="C6" s="104" t="inlineStr">
        <is>
          <t>x per depth — investCost(d) = floor(C0 × r^d)</t>
        </is>
      </c>
    </row>
    <row r="7" ht="13.5" customHeight="1" s="57">
      <c r="A7" s="104" t="inlineStr">
        <is>
          <t>Cumulative invest cost</t>
        </is>
      </c>
      <c r="C7" s="104" t="inlineStr">
        <is>
          <t>closed form C0 × (r^d − 1)/(r − 1) — derive, never store</t>
        </is>
      </c>
    </row>
    <row r="8" ht="13.5" customHeight="1" s="57">
      <c r="A8" s="104" t="inlineStr">
        <is>
          <t>Penetration steepness (a)</t>
        </is>
      </c>
      <c r="B8" s="104" t="n">
        <v>0.15</v>
      </c>
      <c r="C8" s="104" t="inlineStr">
        <is>
          <t>penetration(d) = 1 − e^(−a·d)</t>
        </is>
      </c>
    </row>
    <row r="9" ht="13.5" customHeight="1" s="57">
      <c r="A9" s="104" t="inlineStr">
        <is>
          <t>Spend per capita</t>
        </is>
      </c>
      <c r="B9" s="104" t="n">
        <v>0.1</v>
      </c>
      <c r="C9" s="104" t="inlineStr">
        <is>
          <t>gold / s / reprobate (per trade, at full penetration)</t>
        </is>
      </c>
    </row>
    <row r="10" ht="13.5" customHeight="1" s="57">
      <c r="A10" s="104" t="inlineStr">
        <is>
          <t>Generation per depth</t>
        </is>
      </c>
      <c r="B10" s="104" t="n">
        <v>0.02</v>
      </c>
      <c r="C10" s="104" t="inlineStr">
        <is>
          <t>reprobates / s per depth of one trade</t>
        </is>
      </c>
    </row>
    <row r="11" ht="13.5" customHeight="1" s="57">
      <c r="A11" s="104" t="inlineStr">
        <is>
          <t>Divest fraction</t>
        </is>
      </c>
      <c r="B11" s="105">
        <f>Globals!$B$14</f>
        <v/>
      </c>
      <c r="C11" s="104" t="inlineStr">
        <is>
          <t>% of divested depths’ cumulative cost (Vine #45 keeps modifying it)</t>
        </is>
      </c>
    </row>
    <row r="12" ht="13.5" customHeight="1" s="57">
      <c r="A12" s="104" t="inlineStr">
        <is>
          <t>Depth cap per Sin level</t>
        </is>
      </c>
      <c r="B12" s="104" t="n">
        <v>10</v>
      </c>
      <c r="C12" s="104" t="inlineStr">
        <is>
          <t>cap = 10 × sinLevel (unlock at Sin level 1)</t>
        </is>
      </c>
    </row>
    <row r="13" ht="13.5" customHeight="1" s="57">
      <c r="A13" s="104" t="inlineStr">
        <is>
          <t>Foedus depth step</t>
        </is>
      </c>
      <c r="B13" s="104" t="n">
        <v>10</v>
      </c>
      <c r="C13" s="104" t="inlineStr">
        <is>
          <t>tier = min(floor(min member depth / step), max tier)</t>
        </is>
      </c>
    </row>
    <row r="14" ht="13.5" customHeight="1" s="57">
      <c r="A14" s="104" t="inlineStr">
        <is>
          <t>Max Foedus tier</t>
        </is>
      </c>
      <c r="B14" s="104" t="n">
        <v>4</v>
      </c>
      <c r="C14" s="104" t="n"/>
    </row>
    <row r="15" ht="13.5" customHeight="1" s="57">
      <c r="A15" s="104" t="inlineStr">
        <is>
          <t>Foedus upkeep discount per tier</t>
        </is>
      </c>
      <c r="B15" s="104" t="n">
        <v>0.125</v>
      </c>
      <c r="C15" s="104" t="inlineStr">
        <is>
          <t>VC upkeep × (1 − discount × tier); tier 4 → ×0.5</t>
        </is>
      </c>
    </row>
    <row r="16" ht="13.5" customHeight="1" s="57">
      <c r="A16" s="104" t="inlineStr">
        <is>
          <t>Foedus revenue bonus per tier</t>
        </is>
      </c>
      <c r="B16" s="104" t="n">
        <v>0.05</v>
      </c>
      <c r="C16" s="104" t="inlineStr">
        <is>
          <t>member trade take × (1 + bonus × tier) while VC active; shared-Sin VCs stack ×</t>
        </is>
      </c>
    </row>
    <row r="18" ht="13.5" customHeight="1" s="57">
      <c r="A18" s="103" t="inlineStr">
        <is>
          <t>Revenue / generation (per trade)</t>
        </is>
      </c>
    </row>
    <row r="19" ht="13.5" customHeight="1" s="57">
      <c r="A19" s="104" t="inlineStr">
        <is>
          <t>revenue/s = spendPerCapita × reprobates × penetration(d); total replaces businessGoldPerSecond at tick step 1, × vitiumMercaturaOutputMul, × goldRateMul</t>
        </is>
      </c>
    </row>
    <row r="20" ht="13.5" customHeight="1" s="57">
      <c r="A20" s="104" t="inlineStr">
        <is>
          <t>generation/s = genPerDepth × d, into the generation pool, × vitiumMercaturaOutputMul (Foedus bonus applies to revenue only)</t>
        </is>
      </c>
    </row>
    <row r="21" ht="13.5" customHeight="1" s="57">
      <c r="A21" s="104" t="inlineStr">
        <is>
          <t>Katabasis: all trades auto-divest at the divest fraction into gold BEFORE the remaining-gold roll; depths reset to 0</t>
        </is>
      </c>
    </row>
    <row r="23" ht="13.5" customHeight="1" s="57">
      <c r="A23" s="103" t="inlineStr">
        <is>
          <t>Foedus opt-out flags (per VC, default all-on = FALSE)</t>
        </is>
      </c>
    </row>
    <row r="24" ht="13.5" customHeight="1" s="57">
      <c r="A24" s="103" t="inlineStr">
        <is>
          <t>Ceremony</t>
        </is>
      </c>
      <c r="B24" s="103" t="inlineStr">
        <is>
          <t>Foedus opt-out</t>
        </is>
      </c>
    </row>
    <row r="25" ht="13.5" customHeight="1" s="57">
      <c r="A25" s="104" t="inlineStr">
        <is>
          <t>Charity</t>
        </is>
      </c>
      <c r="B25" s="104">
        <f>FALSE()</f>
        <v/>
      </c>
    </row>
    <row r="26" ht="13.5" customHeight="1" s="57">
      <c r="A26" s="104" t="inlineStr">
        <is>
          <t>Gala</t>
        </is>
      </c>
      <c r="B26" s="104">
        <f>FALSE()</f>
        <v/>
      </c>
    </row>
    <row r="27" ht="13.5" customHeight="1" s="57">
      <c r="A27" s="104" t="inlineStr">
        <is>
          <t>Bacchanal</t>
        </is>
      </c>
      <c r="B27" s="104">
        <f>FALSE()</f>
        <v/>
      </c>
    </row>
    <row r="28" ht="13.5" customHeight="1" s="57">
      <c r="A28" s="104" t="inlineStr">
        <is>
          <t>Dolce Far Niente</t>
        </is>
      </c>
      <c r="B28" s="104">
        <f>FALSE()</f>
        <v/>
      </c>
    </row>
    <row r="29" ht="13.5" customHeight="1" s="57">
      <c r="A29" s="104" t="inlineStr">
        <is>
          <t>Enraging broadcast</t>
        </is>
      </c>
      <c r="B29" s="104">
        <f>FALSE()</f>
        <v/>
      </c>
    </row>
    <row r="30" ht="13.5" customHeight="1" s="57">
      <c r="A30" s="104" t="inlineStr">
        <is>
          <t>Doom gathering</t>
        </is>
      </c>
      <c r="B30" s="104">
        <f>FALSE()</f>
        <v/>
      </c>
    </row>
    <row r="31" ht="13.5" customHeight="1" s="57">
      <c r="A31" s="104" t="inlineStr">
        <is>
          <t>Vegas</t>
        </is>
      </c>
      <c r="B31" s="104">
        <f>FALSE()</f>
        <v/>
      </c>
    </row>
    <row r="32" ht="13.5" customHeight="1" s="57">
      <c r="A32" s="104" t="inlineStr">
        <is>
          <t>Crusade</t>
        </is>
      </c>
      <c r="B32" s="104">
        <f>FALSE()</f>
        <v/>
      </c>
    </row>
    <row r="33" ht="13.5" customHeight="1" s="57">
      <c r="A33" s="104" t="inlineStr">
        <is>
          <t>Panvitium</t>
        </is>
      </c>
      <c r="B33" s="104">
        <f>FALSE()</f>
        <v/>
      </c>
    </row>
    <row r="34" ht="13.5" customHeight="1" s="57"/>
    <row r="35" ht="13.5" customHeight="1" s="57">
      <c r="A35" s="103" t="inlineStr">
        <is>
          <t>Per-Sin signature clauses (slice 2 — §1.5 table as amended in session)</t>
        </is>
      </c>
    </row>
    <row r="36" ht="13.5" customHeight="1" s="57">
      <c r="A36" s="103" t="inlineStr">
        <is>
          <t>Mercatus</t>
        </is>
      </c>
      <c r="B36" s="103" t="inlineStr">
        <is>
          <t>Constant</t>
        </is>
      </c>
      <c r="C36" s="103" t="inlineStr">
        <is>
          <t>Clause</t>
        </is>
      </c>
    </row>
    <row r="37" ht="13.5" customHeight="1" s="57">
      <c r="A37" s="104" t="inlineStr">
        <is>
          <t>Gulae</t>
        </is>
      </c>
      <c r="B37" s="104" t="n">
        <v>1.25</v>
      </c>
      <c r="C37" s="104" t="inlineStr">
        <is>
          <t>spendPerCapita ×1.25 for this trade (its revenue ×1.25)</t>
        </is>
      </c>
    </row>
    <row r="38" ht="13.5" customHeight="1" s="57">
      <c r="A38" s="104" t="inlineStr">
        <is>
          <t>Luxuriae</t>
        </is>
      </c>
      <c r="B38" s="104" t="n">
        <v>1.25</v>
      </c>
      <c r="C38" s="104" t="inlineStr">
        <is>
          <t>its generation ×1.25</t>
        </is>
      </c>
    </row>
    <row r="39" ht="13.5" customHeight="1" s="57">
      <c r="A39" s="104" t="inlineStr">
        <is>
          <t>Avaritiae</t>
        </is>
      </c>
      <c r="B39" s="104" t="n">
        <v>0.995</v>
      </c>
      <c r="C39" s="104" t="inlineStr">
        <is>
          <t>each depth bargains the next 0.5% cheaper — COMPOUNDS (effective ratio r × 0.995 ≈ 1.592); refunds on the same basis</t>
        </is>
      </c>
    </row>
    <row r="40" ht="13.5" customHeight="1" s="57">
      <c r="A40" s="104" t="inlineStr">
        <is>
          <t>Tristitiae</t>
        </is>
      </c>
      <c r="B40" s="104" t="n">
        <v>0.00825</v>
      </c>
      <c r="C40" s="104" t="inlineStr">
        <is>
          <t>+0.825% reprobate suicide-rate mul per depth (global)</t>
        </is>
      </c>
    </row>
    <row r="41" ht="13.5" customHeight="1" s="57">
      <c r="A41" s="104" t="inlineStr">
        <is>
          <t>Irae</t>
        </is>
      </c>
      <c r="B41" s="104" t="n">
        <v>0.00825</v>
      </c>
      <c r="C41" s="104" t="inlineStr">
        <is>
          <t>+0.825% murder-rate mul per depth (global)</t>
        </is>
      </c>
    </row>
    <row r="42" ht="13.5" customHeight="1" s="57">
      <c r="A42" s="104" t="inlineStr">
        <is>
          <t>Acediae</t>
        </is>
      </c>
      <c r="B42" s="104" t="n">
        <v>0.00825</v>
      </c>
      <c r="C42" s="104" t="inlineStr">
        <is>
          <t>revenue exempt from the ×0.5 offline efficiency; +0.825% offline gain rate mul per depth</t>
        </is>
      </c>
    </row>
    <row r="43" ht="13.5" customHeight="1" s="57">
      <c r="A43" s="104" t="inlineStr">
        <is>
          <t>Vanagloriae</t>
        </is>
      </c>
      <c r="B43" s="104" t="n">
        <v>0.0025</v>
      </c>
      <c r="C43" s="104" t="inlineStr">
        <is>
          <t>+0.25% of effective max influence as flat influence/s per full 10 depths (stepped)</t>
        </is>
      </c>
    </row>
    <row r="44" ht="13.5" customHeight="1" s="57">
      <c r="A44" s="104" t="inlineStr">
        <is>
          <t>Superbiae</t>
        </is>
      </c>
      <c r="B44" s="104" t="inlineStr">
        <is>
          <t>1.25 / 1.33</t>
        </is>
      </c>
      <c r="C44" s="104" t="inlineStr">
        <is>
          <t>depths ×1.25 dearer; its revenue ×1.33 and its generation ×1.33</t>
        </is>
      </c>
    </row>
    <row r="45" ht="13.5" customHeight="1" s="57"/>
    <row r="46" ht="13.5" customHeight="1" s="57">
      <c r="A46" s="104" t="inlineStr">
        <is>
          <t>Player base offline efficiency (Globals row 8, 0.5×) is now WIRED: resumeGame scales the catch-up by it; only Mercatus Acediae’s take is exempt.</t>
        </is>
      </c>
    </row>
    <row r="47" ht="13.5" customHeight="1" s="57"/>
    <row r="48" ht="13.5" customHeight="1" s="57"/>
    <row r="50" ht="13.5" customHeight="1" s="5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G11" activeCellId="0" sqref="G11"/>
    </sheetView>
  </sheetViews>
  <sheetFormatPr baseColWidth="8" defaultColWidth="8.6796875" defaultRowHeight="13.5" zeroHeight="0" outlineLevelRow="0"/>
  <cols>
    <col width="18" customWidth="1" style="56" min="1" max="1"/>
    <col width="33.94" customWidth="1" style="56" min="2" max="2"/>
    <col width="9" customWidth="1" style="56" min="3" max="3"/>
    <col width="22.95" customWidth="1" style="56" min="4" max="4"/>
    <col width="30.74" customWidth="1" style="56" min="5" max="5"/>
    <col width="41.18" customWidth="1" style="56" min="6" max="6"/>
    <col width="28.66" customWidth="1" style="56" min="7" max="7"/>
    <col width="40" customWidth="1" style="56" min="8" max="8"/>
    <col width="11.53" customWidth="1" style="56" min="16383" max="16384"/>
  </cols>
  <sheetData>
    <row r="1" ht="19.5" customHeight="1" s="57">
      <c r="A1" s="65" t="inlineStr">
        <is>
          <t>Vitium Compositum — multi-Sin toggles</t>
        </is>
      </c>
    </row>
    <row r="2" ht="13.5" customHeight="1" s="57">
      <c r="A2" s="66" t="inlineStr">
        <is>
          <t>Tick 1s, action time unaffected by efficiency. Efficiency affects costs and outcomes.</t>
        </is>
      </c>
    </row>
    <row r="4" ht="26.25" customHeight="1" s="57">
      <c r="A4" s="58" t="inlineStr">
        <is>
          <t>Name</t>
        </is>
      </c>
      <c r="B4" s="58" t="inlineStr">
        <is>
          <t>Sin combination</t>
        </is>
      </c>
      <c r="C4" s="58" t="inlineStr">
        <is>
          <t>Min sin lvl</t>
        </is>
      </c>
      <c r="D4" s="58" t="inlineStr">
        <is>
          <t>Gold cost /s</t>
        </is>
      </c>
      <c r="E4" s="58" t="inlineStr">
        <is>
          <t>Influence cost /s</t>
        </is>
      </c>
      <c r="F4" s="58" t="inlineStr">
        <is>
          <t>Gold out /s</t>
        </is>
      </c>
      <c r="G4" s="58" t="inlineStr">
        <is>
          <t>Influence out /s</t>
        </is>
      </c>
      <c r="H4" s="58" t="inlineStr">
        <is>
          <t>Effect</t>
        </is>
      </c>
    </row>
    <row r="5" ht="13.5" customHeight="1" s="57">
      <c r="A5" s="106" t="inlineStr">
        <is>
          <t>Charity</t>
        </is>
      </c>
      <c r="B5" s="59" t="inlineStr">
        <is>
          <t>Avaritia + Vanagloria</t>
        </is>
      </c>
      <c r="C5" s="61" t="n">
        <v>1</v>
      </c>
      <c r="D5" s="69">
        <f>1*Globals!$B$17</f>
        <v/>
      </c>
      <c r="E5" s="69">
        <f>2.5*Globals!$B$18</f>
        <v/>
      </c>
      <c r="F5" s="69">
        <f>2*Globals!$B$19</f>
        <v/>
      </c>
      <c r="G5" s="69">
        <f>0*Globals!$B$20</f>
        <v/>
      </c>
      <c r="H5" s="101" t="inlineStr">
        <is>
          <t>-</t>
        </is>
      </c>
    </row>
    <row r="6" ht="13.5" customHeight="1" s="57">
      <c r="A6" s="106" t="inlineStr">
        <is>
          <t>Gala</t>
        </is>
      </c>
      <c r="B6" s="59" t="inlineStr">
        <is>
          <t>Superbia + Vanagloria</t>
        </is>
      </c>
      <c r="C6" s="61" t="n">
        <v>1</v>
      </c>
      <c r="D6" s="69">
        <f>2.5*Globals!$B$17</f>
        <v/>
      </c>
      <c r="E6" s="69">
        <f>0*Globals!$B$18</f>
        <v/>
      </c>
      <c r="F6" s="69">
        <f>0*Globals!$B$19</f>
        <v/>
      </c>
      <c r="G6" s="69">
        <f>2*Globals!$B$20</f>
        <v/>
      </c>
      <c r="H6" s="101" t="inlineStr">
        <is>
          <t>-</t>
        </is>
      </c>
    </row>
    <row r="7" ht="23.25" customHeight="1" s="57">
      <c r="A7" s="106" t="inlineStr">
        <is>
          <t>Bacchanal</t>
        </is>
      </c>
      <c r="B7" s="59" t="inlineStr">
        <is>
          <t>Gula + Luxuria</t>
        </is>
      </c>
      <c r="C7" s="61" t="n">
        <v>1</v>
      </c>
      <c r="D7" s="69">
        <f>1*Globals!$B$17</f>
        <v/>
      </c>
      <c r="E7" s="69">
        <f>1*Globals!$B$18</f>
        <v/>
      </c>
      <c r="F7" s="69">
        <f>0*Globals!$B$19</f>
        <v/>
      </c>
      <c r="G7" s="69">
        <f>0*Globals!$B$20</f>
        <v/>
      </c>
      <c r="H7" s="101" t="inlineStr">
        <is>
          <t>Increases online reprobate generation rate by 10%</t>
        </is>
      </c>
    </row>
    <row r="8" ht="23.25" customHeight="1" s="57">
      <c r="A8" s="106" t="inlineStr">
        <is>
          <t>Dolce Far Niente</t>
        </is>
      </c>
      <c r="B8" s="59" t="inlineStr">
        <is>
          <t>Gula + Acedia</t>
        </is>
      </c>
      <c r="C8" s="61" t="n">
        <v>1</v>
      </c>
      <c r="D8" s="69">
        <f>0*Globals!$B$17</f>
        <v/>
      </c>
      <c r="E8" s="69">
        <f>0*Globals!$B$18</f>
        <v/>
      </c>
      <c r="F8" s="69">
        <f>0*Globals!$B$19</f>
        <v/>
      </c>
      <c r="G8" s="69">
        <f>0*Globals!$B$20</f>
        <v/>
      </c>
      <c r="H8" s="101" t="inlineStr">
        <is>
          <t>Increases offline gold gain and offline reprobate generation rates by 1%</t>
        </is>
      </c>
    </row>
    <row r="9" ht="13.5" customHeight="1" s="57">
      <c r="A9" s="106" t="inlineStr">
        <is>
          <t>Enraging broadcast</t>
        </is>
      </c>
      <c r="B9" s="59" t="inlineStr">
        <is>
          <t>Ira + Tristitia</t>
        </is>
      </c>
      <c r="C9" s="61" t="n">
        <v>1</v>
      </c>
      <c r="D9" s="69">
        <f>0*Globals!$B$17</f>
        <v/>
      </c>
      <c r="E9" s="69">
        <f>2.5*Globals!$B$18</f>
        <v/>
      </c>
      <c r="F9" s="69">
        <f>0*Globals!$B$19</f>
        <v/>
      </c>
      <c r="G9" s="69">
        <f>0*Globals!$B$20</f>
        <v/>
      </c>
      <c r="H9" s="101" t="inlineStr">
        <is>
          <t>Increases murder rate by 10%</t>
        </is>
      </c>
    </row>
    <row r="10" ht="13.5" customHeight="1" s="57">
      <c r="A10" s="106" t="inlineStr">
        <is>
          <t>Doom gathering</t>
        </is>
      </c>
      <c r="B10" s="59" t="inlineStr">
        <is>
          <t>Tristitia + Acedia</t>
        </is>
      </c>
      <c r="C10" s="61" t="n">
        <v>1</v>
      </c>
      <c r="D10" s="69">
        <f>1*Globals!$B$17</f>
        <v/>
      </c>
      <c r="E10" s="69">
        <f>1*Globals!$B$18</f>
        <v/>
      </c>
      <c r="F10" s="69">
        <f>0*Globals!$B$19</f>
        <v/>
      </c>
      <c r="G10" s="69">
        <f>0*Globals!$B$20</f>
        <v/>
      </c>
      <c r="H10" s="101" t="inlineStr">
        <is>
          <t>Increases suicide rate by 10%</t>
        </is>
      </c>
    </row>
    <row r="11" ht="13.5" customHeight="1" s="57">
      <c r="A11" s="107" t="inlineStr">
        <is>
          <t>Vegas</t>
        </is>
      </c>
      <c r="B11" s="59" t="inlineStr">
        <is>
          <t>Luxuria + Avaritia + Gula + Acedia</t>
        </is>
      </c>
      <c r="C11" s="61" t="n">
        <v>2</v>
      </c>
      <c r="D11" s="69" t="inlineStr">
        <is>
          <t>50% current gold gain / s</t>
        </is>
      </c>
      <c r="E11" s="69" t="n">
        <v>0</v>
      </c>
      <c r="F11" s="69" t="n">
        <v>0</v>
      </c>
      <c r="G11" s="69" t="inlineStr">
        <is>
          <t>1% current gold gain / s</t>
        </is>
      </c>
      <c r="H11" s="101" t="inlineStr">
        <is>
          <t>-</t>
        </is>
      </c>
    </row>
    <row r="12" ht="13.5" customHeight="1" s="57">
      <c r="A12" s="107" t="inlineStr">
        <is>
          <t>Crusade</t>
        </is>
      </c>
      <c r="B12" s="59" t="inlineStr">
        <is>
          <t>Superbia + Ira + Vanagloria + Tristitia</t>
        </is>
      </c>
      <c r="C12" s="61" t="n">
        <v>2</v>
      </c>
      <c r="D12" s="69" t="n">
        <v>0</v>
      </c>
      <c r="E12" s="69" t="inlineStr">
        <is>
          <t>50% current influence gain / s</t>
        </is>
      </c>
      <c r="F12" s="69" t="inlineStr">
        <is>
          <t>1000% current influence gain / s</t>
        </is>
      </c>
      <c r="G12" s="69" t="n">
        <v>0</v>
      </c>
      <c r="H12" s="101" t="inlineStr">
        <is>
          <t>-</t>
        </is>
      </c>
    </row>
    <row r="13" ht="34.5" customHeight="1" s="57">
      <c r="A13" s="108" t="inlineStr">
        <is>
          <t>Panvitium</t>
        </is>
      </c>
      <c r="B13" s="59" t="inlineStr">
        <is>
          <t>ALL sins ≥ 3</t>
        </is>
      </c>
      <c r="C13" s="61" t="n">
        <v>3</v>
      </c>
      <c r="D13" s="69" t="inlineStr">
        <is>
          <t>10*Globals!$B$17*e^(t)</t>
        </is>
      </c>
      <c r="E13" s="69" t="inlineStr">
        <is>
          <t>10*Globals!$B$18*e^(t)</t>
        </is>
      </c>
      <c r="F13" s="69">
        <f>0*Globals!$B$19</f>
        <v/>
      </c>
      <c r="G13" s="69">
        <f>0*Globals!$B$20</f>
        <v/>
      </c>
      <c r="H13" s="101" t="inlineStr">
        <is>
          <t>The “t” is seconds active – costs and conversion rate grow exponentially with time. Generates souls /s based on current reprobates.</t>
        </is>
      </c>
    </row>
    <row r="1048573" ht="12.75" customHeight="1" s="57"/>
    <row r="1048574" ht="12.75" customHeight="1" s="57"/>
    <row r="1048575" ht="12.75" customHeight="1" s="57"/>
    <row r="1048576" ht="12.75" customHeight="1" s="57"/>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D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D9" activeCellId="0" sqref="D9"/>
    </sheetView>
  </sheetViews>
  <sheetFormatPr baseColWidth="8" defaultColWidth="8.6796875" defaultRowHeight="15" zeroHeight="0" outlineLevelRow="0"/>
  <cols>
    <col width="24" customWidth="1" style="56" min="1" max="1"/>
    <col width="16" customWidth="1" style="56" min="2" max="2"/>
    <col width="18" customWidth="1" style="56" min="3" max="3"/>
    <col width="40" customWidth="1" style="56" min="4" max="4"/>
  </cols>
  <sheetData>
    <row r="1" ht="19.5" customHeight="1" s="57">
      <c r="A1" s="65" t="inlineStr">
        <is>
          <t>Acolytes</t>
        </is>
      </c>
    </row>
    <row r="2" ht="15" customHeight="1" s="57">
      <c r="A2" s="66" t="inlineStr">
        <is>
          <t>Count is driven by max influence; run delegated actions at base 33% efficiency (modifiable). Max 4 shown in room. Cannot run actions requiring specific maleficia.</t>
        </is>
      </c>
    </row>
    <row r="4" ht="26.25" customHeight="1" s="57">
      <c r="A4" s="58" t="inlineStr">
        <is>
          <t>Max influence threshold</t>
        </is>
      </c>
      <c r="B4" s="58" t="inlineStr">
        <is>
          <t>Acolytes unlocked</t>
        </is>
      </c>
      <c r="C4" s="58" t="inlineStr">
        <is>
          <t>Per-acolyte efficiency</t>
        </is>
      </c>
      <c r="D4" s="58" t="inlineStr">
        <is>
          <t>Note</t>
        </is>
      </c>
    </row>
    <row r="5" ht="23.25" customHeight="1" s="57">
      <c r="A5" s="61" t="n">
        <v>110</v>
      </c>
      <c r="B5" s="61" t="n">
        <v>1</v>
      </c>
      <c r="C5" s="62" t="n">
        <v>0.33</v>
      </c>
      <c r="D5" s="67" t="inlineStr">
        <is>
          <t>Switch altar room background to 169_altar_clean_1acolytes</t>
        </is>
      </c>
    </row>
    <row r="6" ht="23.25" customHeight="1" s="57">
      <c r="A6" s="61">
        <f>1.5*A5</f>
        <v/>
      </c>
      <c r="B6" s="61" t="n">
        <v>2</v>
      </c>
      <c r="C6" s="62" t="n">
        <v>0.33</v>
      </c>
      <c r="D6" s="67" t="inlineStr">
        <is>
          <t>Switch altar room background to 169_altar_clean_2acolytes</t>
        </is>
      </c>
    </row>
    <row r="7" ht="23.25" customHeight="1" s="57">
      <c r="A7" s="61">
        <f>1.5*A6</f>
        <v/>
      </c>
      <c r="B7" s="61" t="n">
        <v>3</v>
      </c>
      <c r="C7" s="62" t="n">
        <v>0.33</v>
      </c>
      <c r="D7" s="67" t="inlineStr">
        <is>
          <t>Switch altar room background to 169_altar_clean_3acolytes</t>
        </is>
      </c>
    </row>
    <row r="8" ht="23.25" customHeight="1" s="57">
      <c r="A8" s="61">
        <f>1.5*A7</f>
        <v/>
      </c>
      <c r="B8" s="61" t="n">
        <v>4</v>
      </c>
      <c r="C8" s="62" t="n">
        <v>0.33</v>
      </c>
      <c r="D8" s="67" t="inlineStr">
        <is>
          <t>Switch altar room background to 169_altar_clean_4acolytes</t>
        </is>
      </c>
    </row>
    <row r="9" ht="34.5" customHeight="1" s="57">
      <c r="A9" s="61" t="inlineStr">
        <is>
          <t>L* 1.5</t>
        </is>
      </c>
      <c r="B9" s="61" t="inlineStr">
        <is>
          <t>5+</t>
        </is>
      </c>
      <c r="C9" s="62" t="n">
        <v>0.33</v>
      </c>
      <c r="D9" s="67" t="inlineStr">
        <is>
          <t>beyond cap not shown visually. L is the threshold for the last acolyte, and the formula is rounded to the nearest integer.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4" activeCellId="0" sqref="A4"/>
    </sheetView>
  </sheetViews>
  <sheetFormatPr baseColWidth="8" defaultColWidth="8.6796875" defaultRowHeight="15" zeroHeight="0" outlineLevelRow="0"/>
  <cols>
    <col width="14" customWidth="1" style="56" min="1" max="1"/>
    <col width="18" customWidth="1" style="56" min="2" max="2"/>
    <col width="20" customWidth="1" style="56" min="3" max="3"/>
    <col width="16" customWidth="1" style="56" min="4" max="4"/>
  </cols>
  <sheetData>
    <row r="1" ht="19.5" customHeight="1" s="57">
      <c r="A1" s="65" t="inlineStr">
        <is>
          <t>Probability Tier Authoring</t>
        </is>
      </c>
    </row>
    <row r="2" ht="15" customHeight="1" s="57">
      <c r="A2" s="66" t="inlineStr">
        <is>
          <t>Modifiers are multiplicative weights on each base prob, then renormalised to 1.0. Base distributions MUST sum to 100%.</t>
        </is>
      </c>
    </row>
    <row r="4" ht="26.25" customHeight="1" s="57">
      <c r="A4" s="58" t="inlineStr">
        <is>
          <t>Tier</t>
        </is>
      </c>
      <c r="B4" s="58" t="inlineStr">
        <is>
          <t>Colour (lore)</t>
        </is>
      </c>
      <c r="C4" s="58" t="inlineStr">
        <is>
          <t>Base weight (example)</t>
        </is>
      </c>
      <c r="D4" s="58" t="inlineStr">
        <is>
          <t>Normalised</t>
        </is>
      </c>
    </row>
    <row r="5" ht="15" customHeight="1" s="57">
      <c r="A5" s="90" t="inlineStr">
        <is>
          <t>Stellar</t>
        </is>
      </c>
      <c r="B5" s="61" t="inlineStr">
        <is>
          <t>Crimson</t>
        </is>
      </c>
      <c r="C5" s="69" t="n">
        <v>0</v>
      </c>
      <c r="D5" s="74">
        <f>IF(SUM($C$5:$C$11)=0,0,C5/SUM($C$5:$C$11))</f>
        <v/>
      </c>
    </row>
    <row r="6" ht="15" customHeight="1" s="57">
      <c r="A6" s="91" t="inlineStr">
        <is>
          <t>Excellent</t>
        </is>
      </c>
      <c r="B6" s="61" t="inlineStr">
        <is>
          <t>Orange</t>
        </is>
      </c>
      <c r="C6" s="69" t="n">
        <v>0</v>
      </c>
      <c r="D6" s="74">
        <f>IF(SUM($C$5:$C$11)=0,0,C6/SUM($C$5:$C$11))</f>
        <v/>
      </c>
    </row>
    <row r="7" ht="15" customHeight="1" s="57">
      <c r="A7" s="92" t="inlineStr">
        <is>
          <t>Good</t>
        </is>
      </c>
      <c r="B7" s="61" t="inlineStr">
        <is>
          <t>Yellow</t>
        </is>
      </c>
      <c r="C7" s="69" t="n">
        <v>0</v>
      </c>
      <c r="D7" s="74">
        <f>IF(SUM($C$5:$C$11)=0,0,C7/SUM($C$5:$C$11))</f>
        <v/>
      </c>
    </row>
    <row r="8" ht="15" customHeight="1" s="57">
      <c r="A8" s="93" t="inlineStr">
        <is>
          <t>Neutral</t>
        </is>
      </c>
      <c r="B8" s="61" t="inlineStr">
        <is>
          <t>White</t>
        </is>
      </c>
      <c r="C8" s="69" t="n">
        <v>0</v>
      </c>
      <c r="D8" s="74">
        <f>IF(SUM($C$5:$C$11)=0,0,C8/SUM($C$5:$C$11))</f>
        <v/>
      </c>
    </row>
    <row r="9" ht="15" customHeight="1" s="57">
      <c r="A9" s="94" t="inlineStr">
        <is>
          <t>Bad</t>
        </is>
      </c>
      <c r="B9" s="61" t="inlineStr">
        <is>
          <t>Green</t>
        </is>
      </c>
      <c r="C9" s="69" t="n">
        <v>0</v>
      </c>
      <c r="D9" s="74">
        <f>IF(SUM($C$5:$C$11)=0,0,C9/SUM($C$5:$C$11))</f>
        <v/>
      </c>
    </row>
    <row r="10" ht="15" customHeight="1" s="57">
      <c r="A10" s="95" t="inlineStr">
        <is>
          <t>Terrible</t>
        </is>
      </c>
      <c r="B10" s="61" t="inlineStr">
        <is>
          <t>Church purple</t>
        </is>
      </c>
      <c r="C10" s="69" t="n">
        <v>0</v>
      </c>
      <c r="D10" s="74">
        <f>IF(SUM($C$5:$C$11)=0,0,C10/SUM($C$5:$C$11))</f>
        <v/>
      </c>
    </row>
    <row r="11" ht="15" customHeight="1" s="57">
      <c r="A11" s="96" t="inlineStr">
        <is>
          <t>Apocalyptic</t>
        </is>
      </c>
      <c r="B11" s="61" t="inlineStr">
        <is>
          <t>Light blue</t>
        </is>
      </c>
      <c r="C11" s="69" t="n">
        <v>0</v>
      </c>
      <c r="D11" s="74">
        <f>IF(SUM($C$5:$C$11)=0,0,C11/SUM($C$5:$C$11))</f>
        <v/>
      </c>
    </row>
    <row r="12" ht="15" customHeight="1" s="57">
      <c r="A12" s="64" t="inlineStr">
        <is>
          <t>SUM</t>
        </is>
      </c>
      <c r="C12" s="109">
        <f>SUM(C5:C11)</f>
        <v/>
      </c>
      <c r="D12" s="110">
        <f>SUM(D5:D11)</f>
        <v/>
      </c>
    </row>
    <row r="13" ht="15" customHeight="1" s="57">
      <c r="A13" s="59" t="inlineStr">
        <is>
          <t>Renormalise lets raw weights be anything; normalised column always sums to 100%.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2026-05-24T15:10:14Z</dcterms:created>
  <dcterms:modified xsi:type="dcterms:W3CDTF">2026-06-22T19:43:27Z</dcterms:modified>
  <cp:revision>439</cp:revision>
</cp:coreProperties>
</file>