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Globals" sheetId="1" state="visible" r:id="rId3"/>
    <sheet name="Sins &amp; Devotion" sheetId="2" state="visible" r:id="rId4"/>
    <sheet name="Sigils" sheetId="3" state="visible" r:id="rId5"/>
    <sheet name="Suasio" sheetId="4" state="visible" r:id="rId6"/>
    <sheet name="Decimatio" sheetId="5" state="visible" r:id="rId7"/>
    <sheet name="Indagatio &amp; Emptio" sheetId="6" state="visible" r:id="rId8"/>
    <sheet name="Invocatio" sheetId="7" state="visible" r:id="rId9"/>
    <sheet name="Vitium Mercatura" sheetId="8" state="visible" r:id="rId10"/>
    <sheet name="Vitium Compositum" sheetId="9" state="visible" r:id="rId11"/>
    <sheet name="Maleficia" sheetId="10" state="visible" r:id="rId12"/>
    <sheet name="Acolytes" sheetId="11" state="visible" r:id="rId13"/>
    <sheet name="Prob Tiers" sheetId="12" state="visible" r:id="rId14"/>
    <sheet name="DEPRECATED" sheetId="13" state="visible" r:id="rId15"/>
  </sheets>
  <definedNames>
    <definedName function="false" hidden="true" localSheetId="9" name="_xlnm._FilterDatabase" vbProcedure="false">Maleficia!$A$4:$G$29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<sst xmlns="http://schemas.openxmlformats.org/spreadsheetml/2006/main" count="1025" uniqueCount="686">
  <si>
    <t xml:space="preserve">Constant</t>
  </si>
  <si>
    <t xml:space="preserve">Value</t>
  </si>
  <si>
    <t xml:space="preserve">Unit</t>
  </si>
  <si>
    <t xml:space="preserve">Base gold gain</t>
  </si>
  <si>
    <t xml:space="preserve">gold / s</t>
  </si>
  <si>
    <t xml:space="preserve">Base max influence</t>
  </si>
  <si>
    <t xml:space="preserve">infl</t>
  </si>
  <si>
    <t xml:space="preserve">Base influence gain</t>
  </si>
  <si>
    <t xml:space="preserve">% of max infl / s</t>
  </si>
  <si>
    <t xml:space="preserve">Base reprobate suicide rate</t>
  </si>
  <si>
    <t xml:space="preserve">/ s of current reprobates</t>
  </si>
  <si>
    <t xml:space="preserve">Base reprobate murder rate</t>
  </si>
  <si>
    <t xml:space="preserve">Player base online efficiency</t>
  </si>
  <si>
    <t xml:space="preserve">x</t>
  </si>
  <si>
    <t xml:space="preserve">Player base offline efficiency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</si>
  <si>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</si>
  <si>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</si>
  <si>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</si>
  <si>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</si>
  <si>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%</t>
  </si>
  <si>
    <t xml:space="preserve">Base remaining maleficia chance (Katabasis)</t>
  </si>
  <si>
    <t xml:space="preserve">Base remaining reprobate % (Katabasis)</t>
  </si>
  <si>
    <t xml:space="preserve">Business shutdown gold recovery</t>
  </si>
  <si>
    <t xml:space="preserve">Devotion level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</si>
  <si>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</si>
  <si>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</si>
  <si>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</si>
  <si>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</si>
  <si>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</si>
  <si>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</si>
  <si>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</si>
  <si>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</si>
  <si>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</si>
  <si>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</si>
  <si>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</si>
  <si>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Cardinal Sins, Devotion &amp; Levels</t>
  </si>
  <si>
    <t xml:space="preserve">Level threshold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</si>
  <si>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</si>
  <si>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</si>
  <si>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</si>
  <si>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</si>
  <si>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</si>
  <si>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</si>
  <si>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</si>
  <si>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</si>
  <si>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</si>
  <si>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</si>
  <si>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+ online player efficiency</t>
  </si>
  <si>
    <t xml:space="preserve">-25% Bad, Terrible and Apocalyptic chance (additive, lvl 4 you have 0% negative outcome chances)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</si>
  <si>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</si>
  <si>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</si>
  <si>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</si>
  <si>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</si>
  <si>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</si>
  <si>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+100% overall Suasio efficiency (mult)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</si>
  <si>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</si>
  <si>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</si>
  <si>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</si>
  <si>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</si>
  <si>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</si>
  <si>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+12.5%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</si>
  <si>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</si>
  <si>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</si>
  <si>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</si>
  <si>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</si>
  <si>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acolyte efficiency</t>
  </si>
  <si>
    <t xml:space="preserve">+12.5% remaining reprobate % /lvl</t>
  </si>
  <si>
    <t xml:space="preserve">Satan</t>
  </si>
  <si>
    <t xml:space="preserve">Ira</t>
  </si>
  <si>
    <t xml:space="preserve">Wrath</t>
  </si>
  <si>
    <t xml:space="preserve">Retribution</t>
  </si>
  <si>
    <t xml:space="preserve">+ invocation efficiency</t>
  </si>
  <si>
    <t xml:space="preserve">+100% overall Decimatio efficiency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</si>
  <si>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</si>
  <si>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</si>
  <si>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</si>
  <si>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</si>
  <si>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player efficiency</t>
  </si>
  <si>
    <t xml:space="preserve">offline mult 1.0000002^(s*(L^2)), where L is level and s is seconds offline in a row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</si>
  <si>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</si>
  <si>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</si>
  <si>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</si>
  <si>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</si>
  <si>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</si>
  <si>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*1.33 influence gain rate /lvl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</si>
  <si>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</si>
  <si>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</si>
  <si>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</si>
  <si>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</si>
  <si>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</si>
  <si>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</si>
  <si>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 (applies multiplicatively)</t>
  </si>
  <si>
    <t xml:space="preserve">Devotion x</t>
  </si>
  <si>
    <t xml:space="preserve">Intensity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</si>
  <si>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</si>
  <si>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</si>
  <si>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</si>
  <si>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</si>
  <si>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</si>
  <si>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</si>
  <si>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</si>
  <si>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</si>
  <si>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</si>
  <si>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</si>
  <si>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</si>
  <si>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</si>
  <si>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-Opera negative outcome chance</t>
  </si>
  <si>
    <t xml:space="preserve">sqrt</t>
  </si>
  <si>
    <t xml:space="preserve">Agares</t>
  </si>
  <si>
    <t xml:space="preserve">Earthquakes; retrieval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</si>
  <si>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</si>
  <si>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</si>
  <si>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</si>
  <si>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</si>
  <si>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</si>
  <si>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</si>
  <si>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</si>
  <si>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</si>
  <si>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+Indagatio postitive outcome chance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</si>
  <si>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</si>
  <si>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</si>
  <si>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</si>
  <si>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</si>
  <si>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</si>
  <si>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 online reprobate generation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</si>
  <si>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</si>
  <si>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</si>
  <si>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</si>
  <si>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</si>
  <si>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</si>
  <si>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</si>
  <si>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</si>
  <si>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</si>
  <si>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</si>
  <si>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</si>
  <si>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</si>
  <si>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+Vitium Compositum effects (does not affect gold and influence outcomes)</t>
  </si>
  <si>
    <t xml:space="preserve">Sitri</t>
  </si>
  <si>
    <t xml:space="preserve">Love</t>
  </si>
  <si>
    <t xml:space="preserve">+Vitium Mercatura reprobate generation rate</t>
  </si>
  <si>
    <t xml:space="preserve">Beleth</t>
  </si>
  <si>
    <t xml:space="preserve">Attended by trumpets</t>
  </si>
  <si>
    <t xml:space="preserve">+Decimatio positive outcome chance</t>
  </si>
  <si>
    <t xml:space="preserve">Leraie</t>
  </si>
  <si>
    <t xml:space="preserve">Putrefies wounds</t>
  </si>
  <si>
    <t xml:space="preserve">+chance a murder triggers a suicide</t>
  </si>
  <si>
    <t xml:space="preserve">Eligos</t>
  </si>
  <si>
    <t xml:space="preserve">Favour of important people</t>
  </si>
  <si>
    <t xml:space="preserve">+offline influence gain rate</t>
  </si>
  <si>
    <t xml:space="preserve">Zepar</t>
  </si>
  <si>
    <t xml:space="preserve">Makes women barren</t>
  </si>
  <si>
    <t xml:space="preserve">+offline reprobate generation rate</t>
  </si>
  <si>
    <t xml:space="preserve">Botis</t>
  </si>
  <si>
    <t xml:space="preserve">Past and future</t>
  </si>
  <si>
    <t xml:space="preserve">-Suasio negative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</si>
  <si>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</si>
  <si>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</si>
  <si>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</si>
  <si>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</si>
  <si>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</si>
  <si>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</si>
  <si>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</si>
  <si>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</si>
  <si>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 (flat)</t>
  </si>
  <si>
    <t xml:space="preserve">log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</si>
  <si>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</si>
  <si>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</si>
  <si>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</si>
  <si>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</si>
  <si>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</si>
  <si>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negative outcome chance</t>
  </si>
  <si>
    <t xml:space="preserve">Aim</t>
  </si>
  <si>
    <t xml:space="preserve">Sets fire</t>
  </si>
  <si>
    <t xml:space="preserve">+Murder rate</t>
  </si>
  <si>
    <t xml:space="preserve">Naberius</t>
  </si>
  <si>
    <t xml:space="preserve">Arts &amp; rhetoric</t>
  </si>
  <si>
    <t xml:space="preserve">+Vitium Compositum effects</t>
  </si>
  <si>
    <t xml:space="preserve">Glasya-Labolas</t>
  </si>
  <si>
    <t xml:space="preserve">Manslaughter</t>
  </si>
  <si>
    <t xml:space="preserve">+Murder rate (flat)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</si>
  <si>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</si>
  <si>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</si>
  <si>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</si>
  <si>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</si>
  <si>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</si>
  <si>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</si>
  <si>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</si>
  <si>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</si>
  <si>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</si>
  <si>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</si>
  <si>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</si>
  <si>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</si>
  <si>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</si>
  <si>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</si>
  <si>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+invoking power (flat)</t>
  </si>
  <si>
    <t xml:space="preserve">Foras</t>
  </si>
  <si>
    <t xml:space="preserve">Logic, invisibility</t>
  </si>
  <si>
    <t xml:space="preserve">Semet</t>
  </si>
  <si>
    <t xml:space="preserve">Final destiny</t>
  </si>
  <si>
    <t xml:space="preserve">+sigil effect %</t>
  </si>
  <si>
    <t xml:space="preserve">Gaap</t>
  </si>
  <si>
    <t xml:space="preserve">Makes men stupid</t>
  </si>
  <si>
    <t xml:space="preserve">+maleficia effect %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</si>
  <si>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</si>
  <si>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</si>
  <si>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</si>
  <si>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</si>
  <si>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</si>
  <si>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</si>
  <si>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</si>
  <si>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</si>
  <si>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- chance Common maleficia in Indagatio</t>
  </si>
  <si>
    <t xml:space="preserve">Phenex</t>
  </si>
  <si>
    <t xml:space="preserve">Phoenix; sings</t>
  </si>
  <si>
    <t xml:space="preserve">-Emptio negative outcome chance</t>
  </si>
  <si>
    <t xml:space="preserve">Halphas</t>
  </si>
  <si>
    <t xml:space="preserve">Builds towers/arms</t>
  </si>
  <si>
    <t xml:space="preserve">-chance common &amp; rare maleficia</t>
  </si>
  <si>
    <t xml:space="preserve">Malphas</t>
  </si>
  <si>
    <t xml:space="preserve">Builds/demolishes; deceives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</si>
  <si>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</si>
  <si>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</si>
  <si>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</si>
  <si>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</si>
  <si>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</si>
  <si>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</si>
  <si>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</si>
  <si>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</si>
  <si>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</si>
  <si>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</si>
  <si>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+Suicide rate (flat)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</si>
  <si>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</si>
  <si>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</si>
  <si>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</si>
  <si>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</si>
  <si>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</si>
  <si>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</si>
  <si>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</si>
  <si>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</si>
  <si>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</si>
  <si>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</si>
  <si>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</si>
  <si>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+Stellar chance for Suasio</t>
  </si>
  <si>
    <t xml:space="preserve">Haagenti</t>
  </si>
  <si>
    <t xml:space="preserve">Metal to gold</t>
  </si>
  <si>
    <t xml:space="preserve">+gold / s (flat)</t>
  </si>
  <si>
    <t xml:space="preserve">Crocell</t>
  </si>
  <si>
    <t xml:space="preserve">Geometry; warms waters</t>
  </si>
  <si>
    <t xml:space="preserve">+chance Indagatio finds 2</t>
  </si>
  <si>
    <t xml:space="preserve">Furcas</t>
  </si>
  <si>
    <t xml:space="preserve">Pyromancy</t>
  </si>
  <si>
    <t xml:space="preserve">+business shutdown gold recovery</t>
  </si>
  <si>
    <t xml:space="preserve">Balam</t>
  </si>
  <si>
    <t xml:space="preserve">All times; invisibility</t>
  </si>
  <si>
    <t xml:space="preserve">-negative outcome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</si>
  <si>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</si>
  <si>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</si>
  <si>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</si>
  <si>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</si>
  <si>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</si>
  <si>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+remaining reprobate %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</si>
  <si>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</si>
  <si>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</si>
  <si>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</si>
  <si>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</si>
  <si>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</si>
  <si>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-cost of all invocations</t>
  </si>
  <si>
    <t xml:space="preserve">Gremory</t>
  </si>
  <si>
    <t xml:space="preserve">Treasures; love</t>
  </si>
  <si>
    <t xml:space="preserve">+Suasio positive outcome chance</t>
  </si>
  <si>
    <t xml:space="preserve">Ose</t>
  </si>
  <si>
    <t xml:space="preserve">Changes shape</t>
  </si>
  <si>
    <t xml:space="preserve">+reprobate generation (flat)</t>
  </si>
  <si>
    <t xml:space="preserve">Amy</t>
  </si>
  <si>
    <t xml:space="preserve">Treasures</t>
  </si>
  <si>
    <t xml:space="preserve">-Indagatio &amp; emptio action efficiency</t>
  </si>
  <si>
    <t xml:space="preserve">Orias</t>
  </si>
  <si>
    <t xml:space="preserve">Transformations</t>
  </si>
  <si>
    <t xml:space="preserve">+Vitium Compositum influence output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</si>
  <si>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</si>
  <si>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</si>
  <si>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</si>
  <si>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</si>
  <si>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</si>
  <si>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</si>
  <si>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</si>
  <si>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</si>
  <si>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-Indagatio negative outcome chance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</si>
  <si>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</si>
  <si>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</si>
  <si>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</si>
  <si>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</si>
  <si>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</si>
  <si>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+Stellar chance for Decimatio</t>
  </si>
  <si>
    <t xml:space="preserve">Andrealphus</t>
  </si>
  <si>
    <t xml:space="preserve">Mensuration</t>
  </si>
  <si>
    <t xml:space="preserve">+invoking power</t>
  </si>
  <si>
    <t xml:space="preserve">Cimejes</t>
  </si>
  <si>
    <t xml:space="preserve">Lost things; treasures</t>
  </si>
  <si>
    <t xml:space="preserve">+remaining maleficia chance</t>
  </si>
  <si>
    <t xml:space="preserve">Amdusias</t>
  </si>
  <si>
    <t xml:space="preserve">Harsh music</t>
  </si>
  <si>
    <t xml:space="preserve">+positive outcome chance (all Opera)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</si>
  <si>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</si>
  <si>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</si>
  <si>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</si>
  <si>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</si>
  <si>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</si>
  <si>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</si>
  <si>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</si>
  <si>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</si>
  <si>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</si>
  <si>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</si>
  <si>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</si>
  <si>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</si>
  <si>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</si>
  <si>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</si>
  <si>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positive outcome chance</t>
  </si>
  <si>
    <t xml:space="preserve">Suasio — Tempting</t>
  </si>
  <si>
    <t xml:space="preserve">Action efficiency modifies costs and positive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</si>
  <si>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</si>
  <si>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</si>
  <si>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Tier</t>
  </si>
  <si>
    <t xml:space="preserve">Base prob %</t>
  </si>
  <si>
    <t xml:space="preserve">Effect</t>
  </si>
  <si>
    <t xml:space="preserve">Stellar</t>
  </si>
  <si>
    <t xml:space="preserve">+randint(4,8) reprobate </t>
  </si>
  <si>
    <t xml:space="preserve">Excellent</t>
  </si>
  <si>
    <t xml:space="preserve">+randint(2,4) reprobate </t>
  </si>
  <si>
    <t xml:space="preserve">Good</t>
  </si>
  <si>
    <t xml:space="preserve">+1 reprobate</t>
  </si>
  <si>
    <t xml:space="preserve">Neutral</t>
  </si>
  <si>
    <t xml:space="preserve">nothing</t>
  </si>
  <si>
    <t xml:space="preserve">Bad</t>
  </si>
  <si>
    <t xml:space="preserve">-1 reprobate</t>
  </si>
  <si>
    <t xml:space="preserve">Terrible</t>
  </si>
  <si>
    <t xml:space="preserve">lose 9% reprobates</t>
  </si>
  <si>
    <t xml:space="preserve">Apocalyptic</t>
  </si>
  <si>
    <t xml:space="preserve">Lose 50%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</si>
  <si>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</si>
  <si>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</si>
  <si>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</si>
  <si>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</si>
  <si>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+3% current reprobates</t>
  </si>
  <si>
    <t xml:space="preserve">+randint(10,29) reprobates</t>
  </si>
  <si>
    <t xml:space="preserve">Imperium  —  one-shot 10s, 100 influence; unlock Luxuria 3, toggle Luxuria 4</t>
  </si>
  <si>
    <t xml:space="preserve">Late-game; outcome is fixed (player in control).</t>
  </si>
  <si>
    <t xml:space="preserve">+3% current souls</t>
  </si>
  <si>
    <t xml:space="preserve">+randint(100,1000) reprobates</t>
  </si>
  <si>
    <t xml:space="preserve">Lose 5% reprobates</t>
  </si>
  <si>
    <t xml:space="preserve">Decimatio — Culling</t>
  </si>
  <si>
    <t xml:space="preserve">Efficiency affects action time (reducing it) but not costs nor outcomes.</t>
  </si>
  <si>
    <t xml:space="preserve">Caedis  —  one-shot 10s, 100 gold; Ira 1 enables toggle</t>
  </si>
  <si>
    <t xml:space="preserve">Early soul source.</t>
  </si>
  <si>
    <t xml:space="preserve">Randint(15,45) reprobates die (+= souls)</t>
  </si>
  <si>
    <t xml:space="preserve">Randint(3,9) reprobates die (+= souls)</t>
  </si>
  <si>
    <t xml:space="preserve">1 reprobate dies (+= souls)</t>
  </si>
  <si>
    <t xml:space="preserve">gold spent, no outcome</t>
  </si>
  <si>
    <t xml:space="preserve">5% current gold loss.</t>
  </si>
  <si>
    <t xml:space="preserve">15% current gold loss.</t>
  </si>
  <si>
    <t xml:space="preserve">66% gold loss and 50% total reprobate loss.</t>
  </si>
  <si>
    <t xml:space="preserve">Pogrom  —  one-shot ~60s, 1000 gold; unlock Ira 2, toggle Ira 3</t>
  </si>
  <si>
    <t xml:space="preserve">Mass cull.</t>
  </si>
  <si>
    <t xml:space="preserve">2.5 % reprobates die (+= souls)</t>
  </si>
  <si>
    <t xml:space="preserve">1% reprobates die (+= souls)</t>
  </si>
  <si>
    <t xml:space="preserve">0.1% reprobates die (+= souls)</t>
  </si>
  <si>
    <t xml:space="preserve">5% current gold loss</t>
  </si>
  <si>
    <t xml:space="preserve">Lose 15% reprobates</t>
  </si>
  <si>
    <t xml:space="preserve">Purgatio  —  one-shot ~360s, 1000000; unlock Ira 3, toggle Ira 4</t>
  </si>
  <si>
    <t xml:space="preserve">Soul farming.</t>
  </si>
  <si>
    <t xml:space="preserve">25% of all reprobates die (+= souls)</t>
  </si>
  <si>
    <t xml:space="preserve">10% of all reprobates die (+= souls)</t>
  </si>
  <si>
    <t xml:space="preserve">1% of all reprobates die (+= souls)</t>
  </si>
  <si>
    <t xml:space="preserve">Lose 100% gold</t>
  </si>
  <si>
    <t xml:space="preserve">Lose 100% gold and reprobates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</si>
  <si>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</si>
  <si>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</si>
  <si>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</si>
  <si>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</si>
  <si>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</si>
  <si>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</si>
  <si>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</si>
  <si>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</si>
  <si>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</si>
  <si>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</si>
  <si>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lose time</t>
  </si>
  <si>
    <t xml:space="preserve">Lose 15% current gold</t>
  </si>
  <si>
    <t xml:space="preserve">Lose 80% current gold</t>
  </si>
  <si>
    <t xml:space="preserve">SUM</t>
  </si>
  <si>
    <t xml:space="preserve">Emptio tier</t>
  </si>
  <si>
    <t xml:space="preserve">Emptio time</t>
  </si>
  <si>
    <t xml:space="preserve">Free maleficia</t>
  </si>
  <si>
    <t xml:space="preserve">60 s</t>
  </si>
  <si>
    <t xml:space="preserve">purchase at 25% price</t>
  </si>
  <si>
    <t xml:space="preserve">purchase at 50% price</t>
  </si>
  <si>
    <t xml:space="preserve">purchase at 100% price</t>
  </si>
  <si>
    <t xml:space="preserve">lose time and gold</t>
  </si>
  <si>
    <t xml:space="preserve">lose 50% total gold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</si>
  <si>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</si>
  <si>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</si>
  <si>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</si>
  <si>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</si>
  <si>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</si>
  <si>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</si>
  <si>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</si>
  <si>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</si>
  <si>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</si>
  <si>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</si>
  <si>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Visually displayed once invoked?</t>
  </si>
  <si>
    <t xml:space="preserve">Idle movement?</t>
  </si>
  <si>
    <t xml:space="preserve">Familiar</t>
  </si>
  <si>
    <t xml:space="preserve">—</t>
  </si>
  <si>
    <t xml:space="preserve">≥2</t>
  </si>
  <si>
    <t xml:space="preserve">Special</t>
  </si>
  <si>
    <t xml:space="preserve">none</t>
  </si>
  <si>
    <t xml:space="preserve">Flat +33% player eff; Familiar action efficiency applies to Indagatio.</t>
  </si>
  <si>
    <t xml:space="preserve">Always in the Studio, sitting besides the door.</t>
  </si>
  <si>
    <t xml:space="preserve">No</t>
  </si>
  <si>
    <t xml:space="preserve">Upir</t>
  </si>
  <si>
    <t xml:space="preserve">≥3</t>
  </si>
  <si>
    <t xml:space="preserve">Gula 1</t>
  </si>
  <si>
    <t xml:space="preserve">Normal</t>
  </si>
  <si>
    <t xml:space="preserve">1 infl/s</t>
  </si>
  <si>
    <t xml:space="preserve">Upir action efficiency applies to Caedis</t>
  </si>
  <si>
    <t xml:space="preserve">10% times in the invocation room</t>
  </si>
  <si>
    <t xml:space="preserve">Aurevora</t>
  </si>
  <si>
    <t xml:space="preserve">≥10</t>
  </si>
  <si>
    <t xml:space="preserve">Gula 3</t>
  </si>
  <si>
    <t xml:space="preserve">Apex</t>
  </si>
  <si>
    <t xml:space="preserve">(1% * e^s) gold/s</t>
  </si>
  <si>
    <t xml:space="preserve">Eats 1% current gold/s rising exponentially with time, one tenth of the exponential is applied as an increase to player action efficiency; dispel at 0 gold</t>
  </si>
  <si>
    <t xml:space="preserve">-</t>
  </si>
  <si>
    <t xml:space="preserve">Immediately when invoked, overrides other invocations in the room.
Only disappears when dispelled.</t>
  </si>
  <si>
    <t xml:space="preserve">Lamia</t>
  </si>
  <si>
    <t xml:space="preserve">≥8</t>
  </si>
  <si>
    <t xml:space="preserve">Luxuria 2</t>
  </si>
  <si>
    <t xml:space="preserve">3 infl/s</t>
  </si>
  <si>
    <t xml:space="preserve">Lamia action efficiency applies to Logismoi</t>
  </si>
  <si>
    <t xml:space="preserve">Immediately when invoked, cannot visually show more than 1</t>
  </si>
  <si>
    <t xml:space="preserve">Succubus</t>
  </si>
  <si>
    <t xml:space="preserve">≥12</t>
  </si>
  <si>
    <t xml:space="preserve">Luxuria 3</t>
  </si>
  <si>
    <t xml:space="preserve">99% current gold gain / s</t>
  </si>
  <si>
    <t xml:space="preserve">Succubus action efficiency applies to Imperium</t>
  </si>
  <si>
    <t xml:space="preserve">Plutus</t>
  </si>
  <si>
    <t xml:space="preserve">Avaritia 2</t>
  </si>
  <si>
    <t xml:space="preserve">Action efficiency applies as increase to Vitium Mercatura output</t>
  </si>
  <si>
    <t xml:space="preserve">10% times in the Studio.</t>
  </si>
  <si>
    <t xml:space="preserve">Midas</t>
  </si>
  <si>
    <t xml:space="preserve">≥11</t>
  </si>
  <si>
    <t xml:space="preserve">Avaritia 3</t>
  </si>
  <si>
    <t xml:space="preserve">x3 gold gain; x33 Apocalyptic chance</t>
  </si>
  <si>
    <t xml:space="preserve">Imp</t>
  </si>
  <si>
    <t xml:space="preserve">≥4</t>
  </si>
  <si>
    <t xml:space="preserve">Ira 1</t>
  </si>
  <si>
    <t xml:space="preserve">10 gold /s</t>
  </si>
  <si>
    <t xml:space="preserve">Imp action efficiency applies to Caedis</t>
  </si>
  <si>
    <t xml:space="preserve">Harpy</t>
  </si>
  <si>
    <t xml:space="preserve">≥7</t>
  </si>
  <si>
    <t xml:space="preserve">Ira 2</t>
  </si>
  <si>
    <t xml:space="preserve">5 infl/s</t>
  </si>
  <si>
    <t xml:space="preserve">Action efficiency applies as to Progrom</t>
  </si>
  <si>
    <t xml:space="preserve">10% times in the Studio window.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</si>
  <si>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</si>
  <si>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</si>
  <si>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</si>
  <si>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</si>
  <si>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In the Altar room, always if active. Overrides other invocations visually.</t>
  </si>
  <si>
    <t xml:space="preserve">Nightmare</t>
  </si>
  <si>
    <t xml:space="preserve">Tristitia 1</t>
  </si>
  <si>
    <t xml:space="preserve">Action efficiency applies as additive increase to base suicide rate</t>
  </si>
  <si>
    <t xml:space="preserve">In the Altar room.</t>
  </si>
  <si>
    <t xml:space="preserve">Astiwihad</t>
  </si>
  <si>
    <t xml:space="preserve">≥15</t>
  </si>
  <si>
    <t xml:space="preserve">Tristitia 3</t>
  </si>
  <si>
    <t xml:space="preserve">100% current influence gain/s</t>
  </si>
  <si>
    <t xml:space="preserve">0.01%/s chance all reprobates suicide</t>
  </si>
  <si>
    <t xml:space="preserve">-%</t>
  </si>
  <si>
    <t xml:space="preserve">Lemure</t>
  </si>
  <si>
    <t xml:space="preserve">≥5</t>
  </si>
  <si>
    <t xml:space="preserve">Acedia 1</t>
  </si>
  <si>
    <t xml:space="preserve">1% of max influence / s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</si>
  <si>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</si>
  <si>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</si>
  <si>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</si>
  <si>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</si>
  <si>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90% current souls &amp; gold</t>
  </si>
  <si>
    <t xml:space="preserve">full freeze; next Katabasis 100% gold/maleficia, keep Emptio list.</t>
  </si>
  <si>
    <t xml:space="preserve">Floating over the Altar in the Altar room, always if active. Overrides other invocations visually.</t>
  </si>
  <si>
    <t xml:space="preserve">Yes</t>
  </si>
  <si>
    <t xml:space="preserve">Fama</t>
  </si>
  <si>
    <t xml:space="preserve">Vanagloria 1</t>
  </si>
  <si>
    <t xml:space="preserve">25% current gold / s</t>
  </si>
  <si>
    <t xml:space="preserve">Fama 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</si>
  <si>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</si>
  <si>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</si>
  <si>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</si>
  <si>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X2 influence gain / s</t>
  </si>
  <si>
    <t xml:space="preserve">Behemoth</t>
  </si>
  <si>
    <t xml:space="preserve">Superbia 1</t>
  </si>
  <si>
    <t xml:space="preserve">5% current gold and influcence gain / s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</si>
  <si>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</si>
  <si>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</si>
  <si>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</si>
  <si>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50% current influence gain/s</t>
  </si>
  <si>
    <t xml:space="preserve">+50% player efficiency</t>
  </si>
  <si>
    <t xml:space="preserve">Vitium Mercatura</t>
  </si>
  <si>
    <t xml:space="preserve">Deterministic and unaffected by action efficiency. Build cost &amp; time, continuous gold output, base reprobate gen rate. Shutdown gold recovery specified in the Globals sheet.</t>
  </si>
  <si>
    <t xml:space="preserve">Business</t>
  </si>
  <si>
    <t xml:space="preserve">Requirement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</si>
  <si>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</si>
  <si>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</si>
  <si>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</si>
  <si>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</si>
  <si>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Nail salon</t>
  </si>
  <si>
    <t xml:space="preserve">Sex shop</t>
  </si>
  <si>
    <t xml:space="preserve">Strip club</t>
  </si>
  <si>
    <t xml:space="preserve">Porn studio</t>
  </si>
  <si>
    <t xml:space="preserve">Luxury escort service</t>
  </si>
  <si>
    <t xml:space="preserve">Lending service</t>
  </si>
  <si>
    <t xml:space="preserve">Casino</t>
  </si>
  <si>
    <t xml:space="preserve">Baleful billboard</t>
  </si>
  <si>
    <t xml:space="preserve">Radio broadcast</t>
  </si>
  <si>
    <t xml:space="preserve">Social network</t>
  </si>
  <si>
    <t xml:space="preserve">News Network</t>
  </si>
  <si>
    <t xml:space="preserve">Arms dealer</t>
  </si>
  <si>
    <t xml:space="preserve">Maldives trip agency</t>
  </si>
  <si>
    <t xml:space="preserve">Pill mill</t>
  </si>
  <si>
    <t xml:space="preserve">Streaming platform</t>
  </si>
  <si>
    <t xml:space="preserve">Lotus Resort empire</t>
  </si>
  <si>
    <t xml:space="preserve">Fashion magazine</t>
  </si>
  <si>
    <t xml:space="preserve">Awards Organization</t>
  </si>
  <si>
    <t xml:space="preserve">Sports car rental</t>
  </si>
  <si>
    <t xml:space="preserve">TRT clinic</t>
  </si>
  <si>
    <t xml:space="preserve">Vitium Compositum — multi-Sin toggles</t>
  </si>
  <si>
    <t xml:space="preserve">Tick 1s, action time unaffected by efficiency. Efficiency affects costs and outcomes.</t>
  </si>
  <si>
    <t xml:space="preserve">Name</t>
  </si>
  <si>
    <t xml:space="preserve">Sin combination</t>
  </si>
  <si>
    <t xml:space="preserve">Min sin lvl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</si>
  <si>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</si>
  <si>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</si>
  <si>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</si>
  <si>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</si>
  <si>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Charity</t>
  </si>
  <si>
    <t xml:space="preserve">Avaritia + Vanagloria</t>
  </si>
  <si>
    <t xml:space="preserve">Gala</t>
  </si>
  <si>
    <t xml:space="preserve">Superbia + Vanagloria</t>
  </si>
  <si>
    <t xml:space="preserve">Bacchanal</t>
  </si>
  <si>
    <t xml:space="preserve">Gula + Luxuria</t>
  </si>
  <si>
    <t xml:space="preserve">Increases online reprobate generation rate by 10%</t>
  </si>
  <si>
    <t xml:space="preserve">Dolce Far Niente</t>
  </si>
  <si>
    <t xml:space="preserve">Gula + Acedia</t>
  </si>
  <si>
    <t xml:space="preserve">Increases offline gold gain and offline reprobate generation rates by 1%</t>
  </si>
  <si>
    <t xml:space="preserve">Enraging broadcast</t>
  </si>
  <si>
    <t xml:space="preserve">Ira + Tristitia</t>
  </si>
  <si>
    <t xml:space="preserve">Increases murder rate by 10%</t>
  </si>
  <si>
    <t xml:space="preserve">Doom gathering</t>
  </si>
  <si>
    <t xml:space="preserve">Tristitia + Acedia</t>
  </si>
  <si>
    <t xml:space="preserve">Increases suicide rate by 10%</t>
  </si>
  <si>
    <t xml:space="preserve">Vegas</t>
  </si>
  <si>
    <t xml:space="preserve">Luxuria + Avaritia + Gula + Acedia</t>
  </si>
  <si>
    <t xml:space="preserve">50% current gold gain / s</t>
  </si>
  <si>
    <t xml:space="preserve">1% current gold gain / s</t>
  </si>
  <si>
    <t xml:space="preserve">Crusade</t>
  </si>
  <si>
    <t xml:space="preserve">Superbia + Ira + Vanagloria + Tristitia</t>
  </si>
  <si>
    <t xml:space="preserve">50% current influence gain / s</t>
  </si>
  <si>
    <t xml:space="preserve">10000% current influence gain / s</t>
  </si>
  <si>
    <t xml:space="preserve">Panvitium</t>
  </si>
  <si>
    <t xml:space="preserve">ALL sins ≥ 3</t>
  </si>
  <si>
    <t xml:space="preserve">10*$Globals.$B$15*e^(t)</t>
  </si>
  <si>
    <t xml:space="preserve">10*$Globals.$B$16*e^(t)</t>
  </si>
  <si>
    <t xml:space="preserve">The “t” is seconds active – costs and conversion rate grow exponentially with time. Generates souls /s based on current reprobates.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</si>
  <si>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</si>
  <si>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</si>
  <si>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</si>
  <si>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</si>
  <si>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</si>
  <si>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</si>
  <si>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Affected by maleficia effect incrases?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</si>
  <si>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</si>
  <si>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</si>
  <si>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</si>
  <si>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</si>
  <si>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yes</t>
  </si>
  <si>
    <t xml:space="preserve">Codex Gigas</t>
  </si>
  <si>
    <t xml:space="preserve">x3 influence gain rate</t>
  </si>
  <si>
    <t xml:space="preserve">Mark of Cain</t>
  </si>
  <si>
    <t xml:space="preserve">3x murder rate</t>
  </si>
  <si>
    <t xml:space="preserve">Thirty Pieces of Silver</t>
  </si>
  <si>
    <t xml:space="preserve">Increases gold gain by 0.001% per current gold</t>
  </si>
  <si>
    <t xml:space="preserve">Solomon's Ring</t>
  </si>
  <si>
    <t xml:space="preserve">*1.66 sigil effect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</si>
  <si>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</si>
  <si>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</si>
  <si>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</si>
  <si>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</si>
  <si>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no</t>
  </si>
  <si>
    <t xml:space="preserve">Sulfur Censer</t>
  </si>
  <si>
    <t xml:space="preserve">+2 invoking power</t>
  </si>
  <si>
    <t xml:space="preserve">Black Candles</t>
  </si>
  <si>
    <t xml:space="preserve">Enhancer, stackable</t>
  </si>
  <si>
    <t xml:space="preserve">+5% invocation effect per candle</t>
  </si>
  <si>
    <t xml:space="preserve">The Dadu</t>
  </si>
  <si>
    <t xml:space="preserve">Oracular, power source</t>
  </si>
  <si>
    <t xml:space="preserve">reveal Decimatio distribution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</si>
  <si>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</si>
  <si>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</si>
  <si>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</si>
  <si>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</si>
  <si>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∞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</si>
  <si>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</si>
  <si>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</si>
  <si>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</si>
  <si>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</si>
  <si>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</si>
  <si>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</si>
  <si>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</si>
  <si>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</si>
  <si>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The Voynich Manuscript</t>
  </si>
  <si>
    <t xml:space="preserve">Enhancer, power source</t>
  </si>
  <si>
    <t xml:space="preserve">Profane</t>
  </si>
  <si>
    <t xml:space="preserve">*1.66 Suasio efficiency</t>
  </si>
  <si>
    <t xml:space="preserve">Obsidian Mirror</t>
  </si>
  <si>
    <t xml:space="preserve">reveal ALL Opera distributions</t>
  </si>
  <si>
    <t xml:space="preserve">Defixio</t>
  </si>
  <si>
    <t xml:space="preserve">Targeted, stackable</t>
  </si>
  <si>
    <t xml:space="preserve">Single-use: culls reprobates, e^s ramp</t>
  </si>
  <si>
    <t xml:space="preserve">Ars Serpens</t>
  </si>
  <si>
    <t xml:space="preserve">Rare</t>
  </si>
  <si>
    <t xml:space="preserve">*1.33 Suasio efficiency</t>
  </si>
  <si>
    <t xml:space="preserve">Ritual Dagger</t>
  </si>
  <si>
    <t xml:space="preserve">*1.33 Decimatio efficiency</t>
  </si>
  <si>
    <t xml:space="preserve">Blood Chalk</t>
  </si>
  <si>
    <t xml:space="preserve">+4 invoking power</t>
  </si>
  <si>
    <t xml:space="preserve">Blackthorn Wand</t>
  </si>
  <si>
    <t xml:space="preserve">Hand of Glory</t>
  </si>
  <si>
    <t xml:space="preserve">single-use: +100% reprobate generation rate for 1h</t>
  </si>
  <si>
    <t xml:space="preserve">Dybbuk Box</t>
  </si>
  <si>
    <t xml:space="preserve">+3 invoking power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</si>
  <si>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</si>
  <si>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</si>
  <si>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</si>
  <si>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</si>
  <si>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</si>
  <si>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</si>
  <si>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</si>
  <si>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</si>
  <si>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</si>
  <si>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</si>
  <si>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</si>
  <si>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</si>
  <si>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Switch altar room background to 169_altar_clean_1acolytes</t>
  </si>
  <si>
    <t xml:space="preserve">Switch altar room background to 169_altar_clean_2acolytes</t>
  </si>
  <si>
    <t xml:space="preserve">Switch altar room background to 169_altar_clean_3acolytes</t>
  </si>
  <si>
    <t xml:space="preserve">Switch altar room background to 169_altar_clean_4acolytes</t>
  </si>
  <si>
    <t xml:space="preserve">L* 1.5</t>
  </si>
  <si>
    <t xml:space="preserve">5+</t>
  </si>
  <si>
    <t xml:space="preserve">beyond cap not shown visually. L is the threshold for the last acolyte, and the formula is rounded to the nearest integer.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</si>
  <si>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</si>
  <si>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</si>
  <si>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Colour (lore)</t>
  </si>
  <si>
    <t xml:space="preserve">Base weight (example)</t>
  </si>
  <si>
    <t xml:space="preserve">Normalised</t>
  </si>
  <si>
    <t xml:space="preserve">Crimson</t>
  </si>
  <si>
    <t xml:space="preserve">Orange</t>
  </si>
  <si>
    <t xml:space="preserve">Yellow</t>
  </si>
  <si>
    <t xml:space="preserve">White</t>
  </si>
  <si>
    <t xml:space="preserve">Green</t>
  </si>
  <si>
    <t xml:space="preserve">Church purple</t>
  </si>
  <si>
    <t xml:space="preserve">Light blue</t>
  </si>
  <si>
    <t xml:space="preserve">Renormalise lets raw weights be anything; normalised column always sums to 100%.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</si>
  <si>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</si>
  <si>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</si>
  <si>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</si>
  <si>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Sin</t>
  </si>
  <si>
    <t xml:space="preserve">Per-unit role</t>
  </si>
  <si>
    <t xml:space="preserve">Effect per unit</t>
  </si>
  <si>
    <t xml:space="preserve">Reprobate (unconverted)</t>
  </si>
  <si>
    <t xml:space="preserve">Glutton</t>
  </si>
  <si>
    <t xml:space="preserve">Degenerate</t>
  </si>
  <si>
    <t xml:space="preserve">Gambler</t>
  </si>
  <si>
    <t xml:space="preserve">Nihilist</t>
  </si>
  <si>
    <t xml:space="preserve">Choleric</t>
  </si>
  <si>
    <t xml:space="preserve">Husk</t>
  </si>
  <si>
    <t xml:space="preserve">Celebrity</t>
  </si>
  <si>
    <t xml:space="preserve">Sigma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</si>
</sst>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000"/>
    <numFmt numFmtId="171" formatCode="#,##0.000"/>
    <numFmt numFmtId="172" formatCode="#,##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6"/>
      <color theme="1"/>
      <name val="Arial"/>
      <family val="0"/>
      <charset val="1"/>
    </font>
    <font>
      <i val="true"/>
      <sz val="10"/>
      <color theme="1"/>
      <name val="Arial"/>
      <family val="0"/>
      <charset val="1"/>
    </font>
    <font>
      <sz val="11"/>
      <color rgb="FFFFFFFF"/>
      <name val="Calibri"/>
      <family val="2"/>
      <charset val="1"/>
    </font>
    <font>
      <i val="true"/>
      <sz val="9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i val="true"/>
      <sz val="11"/>
      <color theme="1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FF0000"/>
        <bgColor rgb="FFB11226"/>
      </patternFill>
    </fill>
    <fill>
      <patternFill patternType="solid">
        <fgColor rgb="FFFFE994"/>
        <bgColor rgb="FFFFDBB6"/>
      </patternFill>
    </fill>
    <fill>
      <patternFill patternType="solid">
        <fgColor rgb="FFBF819E"/>
        <bgColor rgb="FF999999"/>
      </patternFill>
    </fill>
    <fill>
      <patternFill patternType="solid">
        <fgColor rgb="FF81D41A"/>
        <bgColor rgb="FFD4EA6B"/>
      </patternFill>
    </fill>
    <fill>
      <patternFill patternType="solid">
        <fgColor rgb="FFFFFFA6"/>
        <bgColor rgb="FFFFE994"/>
      </patternFill>
    </fill>
    <fill>
      <patternFill patternType="solid">
        <fgColor rgb="FFFFD8CE"/>
        <bgColor rgb="FFFFDBB6"/>
      </patternFill>
    </fill>
    <fill>
      <patternFill patternType="solid">
        <fgColor rgb="FFB4C7DC"/>
        <bgColor rgb="FF9FC5E8"/>
      </patternFill>
    </fill>
    <fill>
      <patternFill patternType="solid">
        <fgColor rgb="FFFF4000"/>
        <bgColor rgb="FFD2691E"/>
      </patternFill>
    </fill>
    <fill>
      <patternFill patternType="solid">
        <fgColor rgb="FFD4EA6B"/>
        <bgColor rgb="FFFFE994"/>
      </patternFill>
    </fill>
    <fill>
      <patternFill patternType="solid">
        <fgColor rgb="FF999999"/>
        <bgColor rgb="FFBF819E"/>
      </patternFill>
    </fill>
    <fill>
      <patternFill patternType="solid">
        <fgColor rgb="FF468A1A"/>
        <bgColor rgb="FF2E7D32"/>
      </patternFill>
    </fill>
    <fill>
      <patternFill patternType="solid">
        <fgColor rgb="FFB47804"/>
        <bgColor rgb="FFD2691E"/>
      </patternFill>
    </fill>
    <fill>
      <patternFill patternType="solid">
        <fgColor rgb="FFFFDBB6"/>
        <bgColor rgb="FFFFD8CE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B47804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CCFFFF"/>
      </patternFill>
    </fill>
    <fill>
      <patternFill patternType="solid">
        <fgColor rgb="FF2E7D32"/>
        <bgColor rgb="FF468A1A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B4C7DC"/>
      </patternFill>
    </fill>
    <fill>
      <patternFill patternType="solid">
        <fgColor rgb="FFFFFF6D"/>
        <bgColor rgb="FFFFFFA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2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A141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6D"/>
      <rgbColor rgb="FFFF00FF"/>
      <rgbColor rgb="FF00FFFF"/>
      <rgbColor rgb="FF800000"/>
      <rgbColor rgb="FF468A1A"/>
      <rgbColor rgb="FF000080"/>
      <rgbColor rgb="FFB47804"/>
      <rgbColor rgb="FF6A1B9A"/>
      <rgbColor rgb="FF008080"/>
      <rgbColor rgb="FFC9BCA0"/>
      <rgbColor rgb="FFBF819E"/>
      <rgbColor rgb="FF9999FF"/>
      <rgbColor rgb="FF993366"/>
      <rgbColor rgb="FFFFE994"/>
      <rgbColor rgb="FFFFD8CE"/>
      <rgbColor rgb="FF660066"/>
      <rgbColor rgb="FFFF400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FFFFA6"/>
      <rgbColor rgb="FF9FC5E8"/>
      <rgbColor rgb="FFFF99CC"/>
      <rgbColor rgb="FFCC99FF"/>
      <rgbColor rgb="FFFFDBB6"/>
      <rgbColor rgb="FF3366FF"/>
      <rgbColor rgb="FF33CCCC"/>
      <rgbColor rgb="FF81D41A"/>
      <rgbColor rgb="FFE6C200"/>
      <rgbColor rgb="FFFF9900"/>
      <rgbColor rgb="FFD2691E"/>
      <rgbColor rgb="FF666699"/>
      <rgbColor rgb="FF999999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8" activeCellId="0" sqref="A8"/>
    </sheetView>
  </sheetViews>
  <sheetFormatPr defaultColWidth="8.6796875" defaultRowHeight="13.8" zeroHeight="false" outlineLevelRow="0" outlineLevelCol="0"/>
  <cols>
    <col collapsed="false" customWidth="true" hidden="false" outlineLevel="0" max="1" min="1" style="1" width="47.16"/>
    <col collapsed="false" customWidth="true" hidden="false" outlineLevel="0" max="2" min="2" style="1" width="16"/>
    <col collapsed="false" customWidth="true" hidden="false" outlineLevel="0" max="3" min="3" style="1" width="25.32"/>
    <col collapsed="false" customWidth="true" hidden="false" outlineLevel="0" max="16384" min="16384" style="1" width="11.53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3.8" hidden="false" customHeight="false" outlineLevel="0" collapsed="false">
      <c r="A2" s="3" t="s">
        <v>3</v>
      </c>
      <c r="B2" s="4" t="n">
        <v>2</v>
      </c>
      <c r="C2" s="5" t="s">
        <v>4</v>
      </c>
    </row>
    <row r="3" customFormat="false" ht="13.8" hidden="false" customHeight="false" outlineLevel="0" collapsed="false">
      <c r="A3" s="3" t="s">
        <v>5</v>
      </c>
      <c r="B3" s="4" t="n">
        <v>100</v>
      </c>
      <c r="C3" s="5" t="s">
        <v>6</v>
      </c>
    </row>
    <row r="4" customFormat="false" ht="13.8" hidden="false" customHeight="false" outlineLevel="0" collapsed="false">
      <c r="A4" s="3" t="s">
        <v>7</v>
      </c>
      <c r="B4" s="6" t="n">
        <v>0.005</v>
      </c>
      <c r="C4" s="5" t="s">
        <v>8</v>
      </c>
    </row>
    <row r="5" customFormat="false" ht="13.8" hidden="false" customHeight="false" outlineLevel="0" collapsed="false">
      <c r="A5" s="3" t="s">
        <v>9</v>
      </c>
      <c r="B5" s="7" t="n">
        <v>0.0001</v>
      </c>
      <c r="C5" s="5" t="s">
        <v>10</v>
      </c>
    </row>
    <row r="6" customFormat="false" ht="13.8" hidden="false" customHeight="false" outlineLevel="0" collapsed="false">
      <c r="A6" s="8" t="s">
        <v>11</v>
      </c>
      <c r="B6" s="7" t="n">
        <v>0.0002</v>
      </c>
      <c r="C6" s="5" t="s">
        <v>10</v>
      </c>
    </row>
    <row r="7" customFormat="false" ht="13.8" hidden="false" customHeight="false" outlineLevel="0" collapsed="false">
      <c r="A7" s="3" t="s">
        <v>12</v>
      </c>
      <c r="B7" s="6" t="n">
        <v>1</v>
      </c>
      <c r="C7" s="5" t="s">
        <v>13</v>
      </c>
    </row>
    <row r="8" customFormat="false" ht="13.8" hidden="false" customHeight="false" outlineLevel="0" collapsed="false">
      <c r="A8" s="3" t="s">
        <v>14</v>
      </c>
      <c r="B8" s="6" t="n">
        <v>0.5</v>
      </c>
      <c r="C8" s="5" t="s">
        <v>13</v>
      </c>
    </row>
    <row r="9" customFormat="false" ht="13.8" hidden="false" customHeight="false" outlineLevel="0" collapsed="false">
      <c r="A9" s="3" t="s">
        <v>15</v>
      </c>
      <c r="B9" s="6" t="n">
        <v>0.33</v>
      </c>
      <c r="C9" s="5" t="s">
        <v>16</v>
      </c>
    </row>
    <row r="10" customFormat="false" ht="13.8" hidden="false" customHeight="false" outlineLevel="0" collapsed="false">
      <c r="A10" s="3" t="s">
        <v>17</v>
      </c>
      <c r="B10" s="6" t="n">
        <v>0.05</v>
      </c>
      <c r="C10" s="5" t="s">
        <v>16</v>
      </c>
    </row>
    <row r="11" customFormat="false" ht="13.8" hidden="false" customHeight="false" outlineLevel="0" collapsed="false">
      <c r="A11" s="3" t="s">
        <v>18</v>
      </c>
      <c r="B11" s="6" t="n">
        <v>0.05</v>
      </c>
      <c r="C11" s="5" t="s">
        <v>19</v>
      </c>
    </row>
    <row r="12" customFormat="false" ht="13.8" hidden="false" customHeight="false" outlineLevel="0" collapsed="false">
      <c r="A12" s="3" t="s">
        <v>20</v>
      </c>
      <c r="B12" s="6" t="n">
        <v>0.05</v>
      </c>
      <c r="C12" s="5" t="s">
        <v>19</v>
      </c>
    </row>
    <row r="13" customFormat="false" ht="13.8" hidden="false" customHeight="false" outlineLevel="0" collapsed="false">
      <c r="A13" s="3" t="s">
        <v>21</v>
      </c>
      <c r="B13" s="6" t="n">
        <v>0.05</v>
      </c>
      <c r="C13" s="5" t="s">
        <v>19</v>
      </c>
    </row>
    <row r="14" customFormat="false" ht="13.8" hidden="false" customHeight="false" outlineLevel="0" collapsed="false">
      <c r="A14" s="3" t="s">
        <v>22</v>
      </c>
      <c r="B14" s="6" t="n">
        <v>0.25</v>
      </c>
      <c r="C14" s="5" t="s">
        <v>19</v>
      </c>
    </row>
    <row r="15" customFormat="false" ht="13.8" hidden="false" customHeight="false" outlineLevel="0" collapsed="false">
      <c r="A15" s="3" t="s">
        <v>23</v>
      </c>
      <c r="B15" s="4" t="n">
        <v>180</v>
      </c>
      <c r="C15" s="5" t="s">
        <v>24</v>
      </c>
    </row>
    <row r="16" customFormat="false" ht="13.8" hidden="false" customHeight="false" outlineLevel="0" collapsed="false">
      <c r="A16" s="3" t="s">
        <v>25</v>
      </c>
      <c r="B16" s="4" t="n">
        <v>8398080000</v>
      </c>
      <c r="C16" s="5" t="s">
        <v>26</v>
      </c>
    </row>
    <row r="17" customFormat="false" ht="13.8" hidden="false" customHeight="false" outlineLevel="0" collapsed="false">
      <c r="A17" s="3" t="s">
        <v>27</v>
      </c>
      <c r="B17" s="5" t="n">
        <v>100</v>
      </c>
      <c r="C17" s="5" t="s">
        <v>4</v>
      </c>
    </row>
    <row r="18" customFormat="false" ht="13.8" hidden="false" customHeight="false" outlineLevel="0" collapsed="false">
      <c r="A18" s="3" t="s">
        <v>28</v>
      </c>
      <c r="B18" s="5" t="n">
        <v>10</v>
      </c>
      <c r="C18" s="5" t="s">
        <v>29</v>
      </c>
    </row>
    <row r="19" customFormat="false" ht="13.8" hidden="false" customHeight="false" outlineLevel="0" collapsed="false">
      <c r="A19" s="3" t="s">
        <v>30</v>
      </c>
      <c r="B19" s="4" t="n">
        <v>100</v>
      </c>
      <c r="C19" s="5" t="s">
        <v>4</v>
      </c>
    </row>
    <row r="20" customFormat="false" ht="13.8" hidden="false" customHeight="false" outlineLevel="0" collapsed="false">
      <c r="A20" s="3" t="s">
        <v>31</v>
      </c>
      <c r="B20" s="4" t="n">
        <v>10</v>
      </c>
      <c r="C20" s="5" t="s">
        <v>29</v>
      </c>
    </row>
    <row r="21" customFormat="false" ht="13.8" hidden="false" customHeight="false" outlineLevel="0" collapsed="false">
      <c r="A21" s="3" t="s">
        <v>32</v>
      </c>
      <c r="B21" s="9" t="n">
        <v>0.01</v>
      </c>
      <c r="C21" s="5" t="s">
        <v>19</v>
      </c>
    </row>
    <row r="22" customFormat="false" ht="13.8" hidden="false" customHeight="false" outlineLevel="0" collapsed="false">
      <c r="A22" s="3" t="s">
        <v>33</v>
      </c>
      <c r="B22" s="5" t="n">
        <v>1</v>
      </c>
      <c r="C22" s="5"/>
    </row>
    <row r="24" customFormat="false" ht="13.8" hidden="false" customHeight="false" outlineLevel="0" collapsed="false">
      <c r="A24" s="10" t="s">
        <v>34</v>
      </c>
      <c r="B24" s="4" t="n">
        <f aca="false">8*B15^4</f>
        <v>8398080000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2" activeCellId="0" sqref="F1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39.51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1" t="s">
        <v>35</v>
      </c>
    </row>
    <row r="2" customFormat="false" ht="15" hidden="false" customHeight="false" outlineLevel="0" collapsed="false">
      <c r="A2" s="12" t="s">
        <v>36</v>
      </c>
    </row>
    <row r="4" customFormat="false" ht="15" hidden="false" customHeight="false" outlineLevel="0" collapsed="false">
      <c r="A4" s="2" t="s">
        <v>37</v>
      </c>
      <c r="B4" s="2" t="s">
        <v>38</v>
      </c>
      <c r="C4" s="2" t="s">
        <v>39</v>
      </c>
      <c r="D4" s="2" t="s">
        <v>40</v>
      </c>
      <c r="E4" s="2" t="s">
        <v>41</v>
      </c>
      <c r="F4" s="2" t="s">
        <v>42</v>
      </c>
    </row>
    <row r="5" customFormat="false" ht="35.05" hidden="false" customHeight="false" outlineLevel="0" collapsed="false">
      <c r="A5" s="3" t="s">
        <v>43</v>
      </c>
      <c r="B5" s="3" t="s">
        <v>44</v>
      </c>
      <c r="C5" s="3" t="s">
        <v>45</v>
      </c>
      <c r="D5" s="3" t="s">
        <v>46</v>
      </c>
      <c r="E5" s="13" t="s">
        <v>47</v>
      </c>
      <c r="F5" s="13" t="s">
        <v>48</v>
      </c>
    </row>
    <row r="6" customFormat="false" ht="23.85" hidden="false" customHeight="false" outlineLevel="0" collapsed="false">
      <c r="A6" s="3" t="s">
        <v>49</v>
      </c>
      <c r="B6" s="3" t="s">
        <v>50</v>
      </c>
      <c r="C6" s="3" t="s">
        <v>51</v>
      </c>
      <c r="D6" s="3" t="s">
        <v>52</v>
      </c>
      <c r="E6" s="13" t="s">
        <v>53</v>
      </c>
      <c r="F6" s="13" t="s">
        <v>54</v>
      </c>
    </row>
    <row r="7" customFormat="false" ht="15" hidden="false" customHeight="false" outlineLevel="0" collapsed="false">
      <c r="A7" s="3" t="s">
        <v>55</v>
      </c>
      <c r="B7" s="3" t="s">
        <v>56</v>
      </c>
      <c r="C7" s="3" t="s">
        <v>57</v>
      </c>
      <c r="D7" s="3" t="s">
        <v>58</v>
      </c>
      <c r="E7" s="13" t="s">
        <v>59</v>
      </c>
      <c r="F7" s="13" t="s">
        <v>60</v>
      </c>
    </row>
    <row r="8" customFormat="false" ht="15" hidden="false" customHeight="false" outlineLevel="0" collapsed="false">
      <c r="A8" s="3" t="s">
        <v>61</v>
      </c>
      <c r="B8" s="3" t="s">
        <v>62</v>
      </c>
      <c r="C8" s="3" t="s">
        <v>63</v>
      </c>
      <c r="D8" s="3" t="s">
        <v>64</v>
      </c>
      <c r="E8" s="13" t="s">
        <v>65</v>
      </c>
      <c r="F8" s="13" t="s">
        <v>66</v>
      </c>
    </row>
    <row r="9" customFormat="false" ht="35.05" hidden="false" customHeight="false" outlineLevel="0" collapsed="false">
      <c r="A9" s="3" t="s">
        <v>67</v>
      </c>
      <c r="B9" s="3" t="s">
        <v>68</v>
      </c>
      <c r="C9" s="3" t="s">
        <v>69</v>
      </c>
      <c r="D9" s="3" t="s">
        <v>70</v>
      </c>
      <c r="E9" s="13" t="s">
        <v>71</v>
      </c>
      <c r="F9" s="13" t="s">
        <v>72</v>
      </c>
    </row>
    <row r="10" customFormat="false" ht="23.85" hidden="false" customHeight="false" outlineLevel="0" collapsed="false">
      <c r="A10" s="3" t="s">
        <v>73</v>
      </c>
      <c r="B10" s="3" t="s">
        <v>74</v>
      </c>
      <c r="C10" s="3" t="s">
        <v>75</v>
      </c>
      <c r="D10" s="3" t="s">
        <v>76</v>
      </c>
      <c r="E10" s="13" t="s">
        <v>77</v>
      </c>
      <c r="F10" s="13" t="s">
        <v>78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81</v>
      </c>
      <c r="D11" s="3" t="s">
        <v>82</v>
      </c>
      <c r="E11" s="13" t="s">
        <v>83</v>
      </c>
      <c r="F11" s="13" t="s">
        <v>84</v>
      </c>
    </row>
    <row r="12" customFormat="false" ht="15" hidden="false" customHeight="false" outlineLevel="0" collapsed="false">
      <c r="A12" s="3" t="s">
        <v>85</v>
      </c>
      <c r="B12" s="3" t="s">
        <v>86</v>
      </c>
      <c r="C12" s="3" t="s">
        <v>87</v>
      </c>
      <c r="D12" s="3" t="s">
        <v>88</v>
      </c>
      <c r="E12" s="13" t="s">
        <v>89</v>
      </c>
      <c r="F12" s="13" t="s">
        <v>90</v>
      </c>
    </row>
    <row r="15" customFormat="false" ht="15" hidden="false" customHeight="false" outlineLevel="0" collapsed="false">
      <c r="A15" s="14" t="s">
        <v>91</v>
      </c>
      <c r="B15" s="14"/>
      <c r="C15" s="14"/>
      <c r="D15" s="14"/>
      <c r="E15" s="14"/>
      <c r="F15" s="14"/>
      <c r="G15" s="14"/>
    </row>
    <row r="16" customFormat="false" ht="15" hidden="false" customHeight="false" outlineLevel="0" collapsed="false">
      <c r="A16" s="2" t="s">
        <v>92</v>
      </c>
      <c r="B16" s="2" t="s">
        <v>93</v>
      </c>
    </row>
    <row r="17" customFormat="false" ht="15" hidden="false" customHeight="false" outlineLevel="0" collapsed="false">
      <c r="A17" s="4" t="n">
        <v>1</v>
      </c>
      <c r="B17" s="15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5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5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5" t="n">
        <f aca="false">(LN(A20)^2)/65.37</f>
        <v>0.412525636457206</v>
      </c>
    </row>
    <row r="21" customFormat="false" ht="15" hidden="false" customHeight="false" outlineLevel="0" collapsed="false">
      <c r="A21" s="4" t="n">
        <v>32400</v>
      </c>
      <c r="B21" s="15" t="n">
        <f aca="false">(LN(A21)^2)/65.37</f>
        <v>1.65010254582882</v>
      </c>
    </row>
    <row r="22" customFormat="false" ht="15" hidden="false" customHeight="false" outlineLevel="0" collapsed="false">
      <c r="A22" s="4" t="n">
        <v>5832000</v>
      </c>
      <c r="B22" s="15" t="n">
        <f aca="false">(LN(A22)^2)/65.37</f>
        <v>3.71273072811486</v>
      </c>
    </row>
    <row r="23" customFormat="false" ht="15" hidden="false" customHeight="false" outlineLevel="0" collapsed="false">
      <c r="A23" s="4" t="n">
        <v>1049760000</v>
      </c>
      <c r="B23" s="15" t="n">
        <f aca="false">(LN(A23)^2)/65.37</f>
        <v>6.6004101833153</v>
      </c>
    </row>
    <row r="1048576" customFormat="false" ht="12.8" hidden="false" customHeight="false" outlineLevel="0" collapsed="false"/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D18" activeCellId="0" sqref="D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1.57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25.35" hidden="false" customHeight="true" outlineLevel="0" collapsed="false">
      <c r="A1" s="11" t="s">
        <v>94</v>
      </c>
    </row>
    <row r="2" customFormat="false" ht="94.75" hidden="false" customHeight="true" outlineLevel="0" collapsed="false">
      <c r="A2" s="16" t="s">
        <v>95</v>
      </c>
    </row>
    <row r="3" customFormat="false" ht="15" hidden="false" customHeight="false" outlineLevel="0" collapsed="false">
      <c r="A3" s="17"/>
      <c r="B3" s="17"/>
      <c r="C3" s="17"/>
      <c r="D3" s="17"/>
      <c r="E3" s="17"/>
      <c r="F3" s="17"/>
      <c r="G3" s="17"/>
      <c r="H3" s="17"/>
    </row>
    <row r="4" customFormat="false" ht="15" hidden="false" customHeight="false" outlineLevel="0" collapsed="false">
      <c r="A4" s="2" t="s">
        <v>96</v>
      </c>
      <c r="B4" s="2" t="s">
        <v>97</v>
      </c>
      <c r="C4" s="2" t="s">
        <v>98</v>
      </c>
      <c r="D4" s="2" t="s">
        <v>99</v>
      </c>
      <c r="E4" s="2" t="s">
        <v>100</v>
      </c>
      <c r="F4" s="2" t="s">
        <v>101</v>
      </c>
      <c r="G4" s="2" t="s">
        <v>102</v>
      </c>
      <c r="H4" s="2" t="s">
        <v>103</v>
      </c>
    </row>
    <row r="5" customFormat="false" ht="15" hidden="false" customHeight="false" outlineLevel="0" collapsed="false">
      <c r="A5" s="5" t="n">
        <v>1</v>
      </c>
      <c r="B5" s="10" t="s">
        <v>104</v>
      </c>
      <c r="C5" s="13" t="s">
        <v>105</v>
      </c>
      <c r="D5" s="18" t="s">
        <v>106</v>
      </c>
      <c r="E5" s="5" t="s">
        <v>107</v>
      </c>
      <c r="F5" s="19" t="n">
        <f aca="false">0.0001*Globals!$B$22</f>
        <v>0.0001</v>
      </c>
      <c r="G5" s="4" t="n">
        <v>100000000</v>
      </c>
      <c r="H5" s="9" t="n">
        <f aca="false">IF(F5="","",F5*IF(E5="linear",G5,IF(E5="log",LN(G5+1),SQRT(G5))))</f>
        <v>1</v>
      </c>
    </row>
    <row r="6" customFormat="false" ht="15" hidden="false" customHeight="false" outlineLevel="0" collapsed="false">
      <c r="A6" s="5" t="n">
        <v>2</v>
      </c>
      <c r="B6" s="10" t="s">
        <v>108</v>
      </c>
      <c r="C6" s="13" t="s">
        <v>109</v>
      </c>
      <c r="D6" s="0"/>
      <c r="E6" s="5" t="s">
        <v>107</v>
      </c>
      <c r="F6" s="19" t="n">
        <f aca="false">0.0001*Globals!$B$22</f>
        <v>0.0001</v>
      </c>
      <c r="G6" s="4" t="n">
        <v>100</v>
      </c>
      <c r="H6" s="9" t="n">
        <f aca="false">IF(F6="","",F6*IF(E6="linear",G6,IF(E6="log",LN(G6+1),SQRT(G6))))</f>
        <v>0.001</v>
      </c>
    </row>
    <row r="7" customFormat="false" ht="15" hidden="false" customHeight="false" outlineLevel="0" collapsed="false">
      <c r="A7" s="5" t="n">
        <v>3</v>
      </c>
      <c r="B7" s="10" t="s">
        <v>110</v>
      </c>
      <c r="C7" s="13" t="s">
        <v>111</v>
      </c>
      <c r="D7" s="20" t="s">
        <v>112</v>
      </c>
      <c r="E7" s="5" t="s">
        <v>107</v>
      </c>
      <c r="F7" s="19" t="n">
        <f aca="false">0.0001*Globals!$B$22</f>
        <v>0.0001</v>
      </c>
      <c r="G7" s="4" t="n">
        <v>100000</v>
      </c>
      <c r="H7" s="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0" t="s">
        <v>113</v>
      </c>
      <c r="C8" s="13" t="s">
        <v>114</v>
      </c>
      <c r="D8" s="21" t="s">
        <v>115</v>
      </c>
      <c r="E8" s="5" t="s">
        <v>107</v>
      </c>
      <c r="F8" s="19" t="n">
        <f aca="false">0.0001*Globals!$B$22</f>
        <v>0.0001</v>
      </c>
      <c r="G8" s="4" t="n">
        <v>10000</v>
      </c>
      <c r="H8" s="9" t="n">
        <f aca="false">IF(F8="","",F8*IF(E8="linear",G8,IF(E8="log",LN(G8+1),SQRT(G8))))</f>
        <v>0.01</v>
      </c>
    </row>
    <row r="9" customFormat="false" ht="15" hidden="false" customHeight="false" outlineLevel="0" collapsed="false">
      <c r="A9" s="5" t="n">
        <v>5</v>
      </c>
      <c r="B9" s="10" t="s">
        <v>116</v>
      </c>
      <c r="C9" s="13" t="s">
        <v>117</v>
      </c>
      <c r="D9" s="22" t="s">
        <v>118</v>
      </c>
      <c r="E9" s="5" t="s">
        <v>107</v>
      </c>
      <c r="F9" s="19" t="n">
        <f aca="false">0.0001*Globals!$B$22</f>
        <v>0.0001</v>
      </c>
      <c r="G9" s="4" t="n">
        <v>100000</v>
      </c>
      <c r="H9" s="9" t="n">
        <f aca="false">IF(F9="","",F9*IF(E9="linear",G9,IF(E9="log",LN(G9+1),SQRT(G9))))</f>
        <v>0.0316227766016838</v>
      </c>
    </row>
    <row r="10" customFormat="false" ht="15" hidden="false" customHeight="false" outlineLevel="0" collapsed="false">
      <c r="A10" s="5" t="n">
        <v>6</v>
      </c>
      <c r="B10" s="10" t="s">
        <v>119</v>
      </c>
      <c r="C10" s="13" t="s">
        <v>120</v>
      </c>
      <c r="D10" s="23" t="s">
        <v>121</v>
      </c>
      <c r="E10" s="5" t="s">
        <v>107</v>
      </c>
      <c r="F10" s="19" t="n">
        <f aca="false">0.0001*Globals!$B$22</f>
        <v>0.0001</v>
      </c>
      <c r="G10" s="4" t="n">
        <v>100000000</v>
      </c>
      <c r="H10" s="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0" t="s">
        <v>122</v>
      </c>
      <c r="C11" s="13" t="s">
        <v>123</v>
      </c>
      <c r="D11" s="24" t="s">
        <v>124</v>
      </c>
      <c r="E11" s="5" t="s">
        <v>107</v>
      </c>
      <c r="F11" s="19" t="n">
        <f aca="false">0.0001*Globals!$B$22</f>
        <v>0.0001</v>
      </c>
      <c r="G11" s="4" t="n">
        <v>100</v>
      </c>
      <c r="H11" s="9" t="n">
        <f aca="false">IF(F11="","",F11*IF(E11="linear",G11,IF(E11="log",LN(G11+1),SQRT(G11))))</f>
        <v>0.001</v>
      </c>
    </row>
    <row r="12" customFormat="false" ht="15" hidden="false" customHeight="false" outlineLevel="0" collapsed="false">
      <c r="A12" s="5" t="n">
        <v>8</v>
      </c>
      <c r="B12" s="10" t="s">
        <v>125</v>
      </c>
      <c r="C12" s="13" t="s">
        <v>126</v>
      </c>
      <c r="D12" s="21" t="s">
        <v>127</v>
      </c>
      <c r="E12" s="5" t="s">
        <v>107</v>
      </c>
      <c r="F12" s="19" t="n">
        <f aca="false">0.0001*Globals!$B$22</f>
        <v>0.0001</v>
      </c>
      <c r="G12" s="4" t="n">
        <v>100</v>
      </c>
      <c r="H12" s="9" t="n">
        <f aca="false">IF(F12="","",F12*IF(E12="linear",G12,IF(E12="log",LN(G12+1),SQRT(G12))))</f>
        <v>0.001</v>
      </c>
    </row>
    <row r="13" customFormat="false" ht="15" hidden="false" customHeight="false" outlineLevel="0" collapsed="false">
      <c r="A13" s="5" t="n">
        <v>9</v>
      </c>
      <c r="B13" s="10" t="s">
        <v>128</v>
      </c>
      <c r="C13" s="13" t="s">
        <v>129</v>
      </c>
      <c r="D13" s="25" t="s">
        <v>130</v>
      </c>
      <c r="E13" s="5" t="s">
        <v>107</v>
      </c>
      <c r="F13" s="19" t="n">
        <f aca="false">0.00005*Globals!$B$22</f>
        <v>5E-005</v>
      </c>
      <c r="G13" s="4" t="n">
        <v>100000000</v>
      </c>
      <c r="H13" s="9" t="n">
        <f aca="false">IF(F13="","",F13*IF(E13="linear",G13,IF(E13="log",LN(G13+1),SQRT(G13))))</f>
        <v>0.5</v>
      </c>
    </row>
    <row r="14" customFormat="false" ht="15" hidden="false" customHeight="false" outlineLevel="0" collapsed="false">
      <c r="A14" s="5" t="n">
        <v>10</v>
      </c>
      <c r="B14" s="10" t="s">
        <v>131</v>
      </c>
      <c r="C14" s="13" t="s">
        <v>132</v>
      </c>
      <c r="D14" s="21" t="s">
        <v>133</v>
      </c>
      <c r="E14" s="5" t="s">
        <v>107</v>
      </c>
      <c r="F14" s="19" t="n">
        <f aca="false">0.0001*Globals!$B$22</f>
        <v>0.0001</v>
      </c>
      <c r="G14" s="4" t="n">
        <v>100</v>
      </c>
      <c r="H14" s="9" t="n">
        <f aca="false">IF(F14="","",F14*IF(E14="linear",G14,IF(E14="log",LN(G14+1),SQRT(G14))))</f>
        <v>0.001</v>
      </c>
    </row>
    <row r="15" customFormat="false" ht="23.85" hidden="false" customHeight="false" outlineLevel="0" collapsed="false">
      <c r="A15" s="5" t="n">
        <v>11</v>
      </c>
      <c r="B15" s="10" t="s">
        <v>134</v>
      </c>
      <c r="C15" s="13" t="s">
        <v>135</v>
      </c>
      <c r="D15" s="13" t="s">
        <v>136</v>
      </c>
      <c r="E15" s="5" t="s">
        <v>107</v>
      </c>
      <c r="F15" s="19" t="n">
        <f aca="false">0.0001*Globals!$B$22</f>
        <v>0.0001</v>
      </c>
      <c r="G15" s="4" t="n">
        <v>100</v>
      </c>
      <c r="H15" s="9" t="n">
        <f aca="false">IF(F15="","",F15*IF(E15="linear",G15,IF(E15="log",LN(G15+1),SQRT(G15))))</f>
        <v>0.001</v>
      </c>
    </row>
    <row r="16" customFormat="false" ht="15" hidden="false" customHeight="false" outlineLevel="0" collapsed="false">
      <c r="A16" s="5" t="n">
        <v>12</v>
      </c>
      <c r="B16" s="10" t="s">
        <v>137</v>
      </c>
      <c r="C16" s="13" t="s">
        <v>138</v>
      </c>
      <c r="D16" s="24" t="s">
        <v>139</v>
      </c>
      <c r="E16" s="5" t="s">
        <v>107</v>
      </c>
      <c r="F16" s="19" t="n">
        <f aca="false">0.0001*Globals!$B$22</f>
        <v>0.0001</v>
      </c>
      <c r="G16" s="4" t="n">
        <v>100000</v>
      </c>
      <c r="H16" s="9" t="n">
        <f aca="false">IF(F16="","",F16*IF(E16="linear",G16,IF(E16="log",LN(G16+1),SQRT(G16))))</f>
        <v>0.0316227766016838</v>
      </c>
    </row>
    <row r="17" customFormat="false" ht="15" hidden="false" customHeight="false" outlineLevel="0" collapsed="false">
      <c r="A17" s="5" t="n">
        <v>13</v>
      </c>
      <c r="B17" s="10" t="s">
        <v>140</v>
      </c>
      <c r="C17" s="13" t="s">
        <v>141</v>
      </c>
      <c r="D17" s="22" t="s">
        <v>142</v>
      </c>
      <c r="E17" s="5" t="s">
        <v>107</v>
      </c>
      <c r="F17" s="19" t="n">
        <f aca="false">0.0001*Globals!$B$22</f>
        <v>0.0001</v>
      </c>
      <c r="G17" s="4" t="n">
        <v>100</v>
      </c>
      <c r="H17" s="9" t="n">
        <f aca="false">IF(F17="","",F17*IF(E17="linear",G17,IF(E17="log",LN(G17+1),SQRT(G17))))</f>
        <v>0.001</v>
      </c>
    </row>
    <row r="18" customFormat="false" ht="15" hidden="false" customHeight="false" outlineLevel="0" collapsed="false">
      <c r="A18" s="5" t="n">
        <v>14</v>
      </c>
      <c r="B18" s="10" t="s">
        <v>143</v>
      </c>
      <c r="C18" s="13" t="s">
        <v>144</v>
      </c>
      <c r="D18" s="13" t="s">
        <v>145</v>
      </c>
      <c r="E18" s="5" t="s">
        <v>107</v>
      </c>
      <c r="F18" s="19" t="n">
        <f aca="false">0.0001*Globals!$B$22</f>
        <v>0.0001</v>
      </c>
      <c r="G18" s="4" t="n">
        <v>100</v>
      </c>
      <c r="H18" s="9" t="n">
        <f aca="false">IF(F18="","",F18*IF(E18="linear",G18,IF(E18="log",LN(G18+1),SQRT(G18))))</f>
        <v>0.001</v>
      </c>
    </row>
    <row r="19" customFormat="false" ht="15" hidden="false" customHeight="false" outlineLevel="0" collapsed="false">
      <c r="A19" s="5" t="n">
        <v>15</v>
      </c>
      <c r="B19" s="10" t="s">
        <v>146</v>
      </c>
      <c r="C19" s="13" t="s">
        <v>147</v>
      </c>
      <c r="D19" s="25" t="s">
        <v>148</v>
      </c>
      <c r="E19" s="5" t="s">
        <v>107</v>
      </c>
      <c r="F19" s="19" t="n">
        <f aca="false">0.0001*Globals!$B$22</f>
        <v>0.0001</v>
      </c>
      <c r="G19" s="4" t="n">
        <v>100</v>
      </c>
      <c r="H19" s="9" t="n">
        <f aca="false">IF(F19="","",F19*IF(E19="linear",G19,IF(E19="log",LN(G19+1),SQRT(G19))))</f>
        <v>0.001</v>
      </c>
    </row>
    <row r="20" customFormat="false" ht="15" hidden="false" customHeight="false" outlineLevel="0" collapsed="false">
      <c r="A20" s="5" t="n">
        <v>16</v>
      </c>
      <c r="B20" s="10" t="s">
        <v>149</v>
      </c>
      <c r="C20" s="13" t="s">
        <v>150</v>
      </c>
      <c r="D20" s="24" t="s">
        <v>151</v>
      </c>
      <c r="E20" s="5" t="s">
        <v>107</v>
      </c>
      <c r="F20" s="19" t="n">
        <f aca="false">0.0001*Globals!$B$22</f>
        <v>0.0001</v>
      </c>
      <c r="G20" s="4" t="n">
        <v>100</v>
      </c>
      <c r="H20" s="9" t="n">
        <f aca="false">IF(F20="","",F20*IF(E20="linear",G20,IF(E20="log",LN(G20+1),SQRT(G20))))</f>
        <v>0.001</v>
      </c>
    </row>
    <row r="21" customFormat="false" ht="15" hidden="false" customHeight="false" outlineLevel="0" collapsed="false">
      <c r="A21" s="5" t="n">
        <v>17</v>
      </c>
      <c r="B21" s="10" t="s">
        <v>152</v>
      </c>
      <c r="C21" s="13" t="s">
        <v>153</v>
      </c>
      <c r="D21" s="26" t="s">
        <v>154</v>
      </c>
      <c r="E21" s="5" t="s">
        <v>107</v>
      </c>
      <c r="F21" s="19" t="n">
        <f aca="false">0.0001*Globals!$B$22</f>
        <v>0.0001</v>
      </c>
      <c r="G21" s="4" t="n">
        <v>100</v>
      </c>
      <c r="H21" s="9" t="n">
        <f aca="false">IF(F21="","",F21*IF(E21="linear",G21,IF(E21="log",LN(G21+1),SQRT(G21))))</f>
        <v>0.001</v>
      </c>
    </row>
    <row r="22" customFormat="false" ht="15" hidden="false" customHeight="false" outlineLevel="0" collapsed="false">
      <c r="A22" s="5" t="n">
        <v>18</v>
      </c>
      <c r="B22" s="10" t="s">
        <v>155</v>
      </c>
      <c r="C22" s="13" t="s">
        <v>156</v>
      </c>
      <c r="D22" s="13" t="s">
        <v>157</v>
      </c>
      <c r="E22" s="5" t="s">
        <v>107</v>
      </c>
      <c r="F22" s="19" t="n">
        <f aca="false">0.0001*Globals!$B$22</f>
        <v>0.0001</v>
      </c>
      <c r="G22" s="4" t="n">
        <v>100</v>
      </c>
      <c r="H22" s="9" t="n">
        <f aca="false">IF(F22="","",F22*IF(E22="linear",G22,IF(E22="log",LN(G22+1),SQRT(G22))))</f>
        <v>0.001</v>
      </c>
    </row>
    <row r="23" customFormat="false" ht="15" hidden="false" customHeight="false" outlineLevel="0" collapsed="false">
      <c r="A23" s="5" t="n">
        <v>19</v>
      </c>
      <c r="B23" s="10" t="s">
        <v>158</v>
      </c>
      <c r="C23" s="13" t="s">
        <v>159</v>
      </c>
      <c r="D23" s="23" t="s">
        <v>160</v>
      </c>
      <c r="E23" s="5" t="s">
        <v>107</v>
      </c>
      <c r="F23" s="19" t="n">
        <f aca="false">0.0001*Globals!$B$22</f>
        <v>0.0001</v>
      </c>
      <c r="G23" s="4" t="n">
        <v>100</v>
      </c>
      <c r="H23" s="9" t="n">
        <f aca="false">IF(F23="","",F23*IF(E23="linear",G23,IF(E23="log",LN(G23+1),SQRT(G23))))</f>
        <v>0.001</v>
      </c>
    </row>
    <row r="24" customFormat="false" ht="15" hidden="false" customHeight="false" outlineLevel="0" collapsed="false">
      <c r="A24" s="5" t="n">
        <v>20</v>
      </c>
      <c r="B24" s="10" t="s">
        <v>161</v>
      </c>
      <c r="C24" s="13" t="s">
        <v>162</v>
      </c>
      <c r="D24" s="27" t="s">
        <v>163</v>
      </c>
      <c r="E24" s="5" t="s">
        <v>164</v>
      </c>
      <c r="F24" s="19" t="n">
        <v>1</v>
      </c>
      <c r="G24" s="4" t="n">
        <v>100000000</v>
      </c>
      <c r="H24" s="5" t="n">
        <f aca="false">IF(F24="","",F24*IF(E24="linear",G24,IF(E24="log",LN(G24+1),SQRT(G24))))</f>
        <v>18.4206807539524</v>
      </c>
    </row>
    <row r="25" customFormat="false" ht="15" hidden="false" customHeight="false" outlineLevel="0" collapsed="false">
      <c r="A25" s="5" t="n">
        <v>21</v>
      </c>
      <c r="B25" s="10" t="s">
        <v>165</v>
      </c>
      <c r="C25" s="13" t="s">
        <v>166</v>
      </c>
      <c r="D25" s="13" t="s">
        <v>167</v>
      </c>
      <c r="E25" s="5" t="s">
        <v>107</v>
      </c>
      <c r="F25" s="19" t="n">
        <f aca="false">0.0001*Globals!$B$22</f>
        <v>0.0001</v>
      </c>
      <c r="G25" s="4" t="n">
        <v>100</v>
      </c>
      <c r="H25" s="9" t="n">
        <f aca="false">IF(F25="","",F25*IF(E25="linear",G25,IF(E25="log",LN(G25+1),SQRT(G25))))</f>
        <v>0.001</v>
      </c>
    </row>
    <row r="26" customFormat="false" ht="15" hidden="false" customHeight="false" outlineLevel="0" collapsed="false">
      <c r="A26" s="5" t="n">
        <v>22</v>
      </c>
      <c r="B26" s="10" t="s">
        <v>168</v>
      </c>
      <c r="C26" s="13" t="s">
        <v>169</v>
      </c>
      <c r="D26" s="26" t="s">
        <v>170</v>
      </c>
      <c r="E26" s="5" t="s">
        <v>107</v>
      </c>
      <c r="F26" s="19" t="n">
        <f aca="false">0.0001*Globals!$B$22</f>
        <v>0.0001</v>
      </c>
      <c r="G26" s="4" t="n">
        <v>100</v>
      </c>
      <c r="H26" s="9" t="n">
        <f aca="false">IF(F26="","",F26*IF(E26="linear",G26,IF(E26="log",LN(G26+1),SQRT(G26))))</f>
        <v>0.001</v>
      </c>
    </row>
    <row r="27" customFormat="false" ht="15" hidden="false" customHeight="false" outlineLevel="0" collapsed="false">
      <c r="A27" s="5" t="n">
        <v>23</v>
      </c>
      <c r="B27" s="10" t="s">
        <v>171</v>
      </c>
      <c r="C27" s="13" t="s">
        <v>172</v>
      </c>
      <c r="D27" s="28" t="s">
        <v>173</v>
      </c>
      <c r="E27" s="5" t="s">
        <v>107</v>
      </c>
      <c r="F27" s="19" t="n">
        <f aca="false">0.0001*Globals!$B$22</f>
        <v>0.0001</v>
      </c>
      <c r="G27" s="4" t="n">
        <v>100</v>
      </c>
      <c r="H27" s="9" t="n">
        <f aca="false">IF(F27="","",F27*IF(E27="linear",G27,IF(E27="log",LN(G27+1),SQRT(G27))))</f>
        <v>0.001</v>
      </c>
    </row>
    <row r="28" customFormat="false" ht="15" hidden="false" customHeight="false" outlineLevel="0" collapsed="false">
      <c r="A28" s="5" t="n">
        <v>24</v>
      </c>
      <c r="B28" s="10" t="s">
        <v>174</v>
      </c>
      <c r="C28" s="13" t="s">
        <v>175</v>
      </c>
      <c r="D28" s="29" t="s">
        <v>176</v>
      </c>
      <c r="E28" s="5" t="s">
        <v>107</v>
      </c>
      <c r="F28" s="19" t="n">
        <f aca="false">0.0001*Globals!$B$22</f>
        <v>0.0001</v>
      </c>
      <c r="G28" s="4" t="n">
        <v>100</v>
      </c>
      <c r="H28" s="9" t="n">
        <f aca="false">IF(F28="","",F28*IF(E28="linear",G28,IF(E28="log",LN(G28+1),SQRT(G28))))</f>
        <v>0.001</v>
      </c>
    </row>
    <row r="29" customFormat="false" ht="15" hidden="false" customHeight="false" outlineLevel="0" collapsed="false">
      <c r="A29" s="5" t="n">
        <v>25</v>
      </c>
      <c r="B29" s="10" t="s">
        <v>177</v>
      </c>
      <c r="C29" s="13" t="s">
        <v>178</v>
      </c>
      <c r="D29" s="28" t="s">
        <v>179</v>
      </c>
      <c r="E29" s="5" t="s">
        <v>164</v>
      </c>
      <c r="F29" s="19" t="n">
        <v>0.001</v>
      </c>
      <c r="G29" s="4" t="n">
        <v>100000</v>
      </c>
      <c r="H29" s="5" t="n">
        <f aca="false">IF(F29="","",F29*IF(E29="linear",G29,IF(E29="log",LN(G29+1),SQRT(G29))))</f>
        <v>0.0115129354649202</v>
      </c>
    </row>
    <row r="30" customFormat="false" ht="15" hidden="false" customHeight="false" outlineLevel="0" collapsed="false">
      <c r="A30" s="5" t="n">
        <v>26</v>
      </c>
      <c r="B30" s="10" t="s">
        <v>180</v>
      </c>
      <c r="C30" s="13" t="s">
        <v>181</v>
      </c>
      <c r="D30" s="21" t="s">
        <v>182</v>
      </c>
      <c r="E30" s="5" t="s">
        <v>107</v>
      </c>
      <c r="F30" s="19" t="n">
        <f aca="false">0.0001*Globals!$B$22</f>
        <v>0.0001</v>
      </c>
      <c r="G30" s="4" t="n">
        <v>1000</v>
      </c>
      <c r="H30" s="9" t="n">
        <f aca="false">IF(F30="","",F30*IF(E30="linear",G30,IF(E30="log",LN(G30+1),SQRT(G30))))</f>
        <v>0.00316227766016838</v>
      </c>
    </row>
    <row r="31" customFormat="false" ht="15" hidden="false" customHeight="false" outlineLevel="0" collapsed="false">
      <c r="A31" s="5" t="n">
        <v>27</v>
      </c>
      <c r="B31" s="10" t="s">
        <v>183</v>
      </c>
      <c r="C31" s="13" t="s">
        <v>184</v>
      </c>
      <c r="D31" s="28" t="s">
        <v>185</v>
      </c>
      <c r="E31" s="5" t="s">
        <v>107</v>
      </c>
      <c r="F31" s="19" t="n">
        <v>0.0001</v>
      </c>
      <c r="G31" s="4" t="n">
        <v>100</v>
      </c>
      <c r="H31" s="9" t="n">
        <f aca="false">IF(F31="","",F31*IF(E31="linear",G31,IF(E31="log",LN(G31+1),SQRT(G31))))</f>
        <v>0.001</v>
      </c>
    </row>
    <row r="32" customFormat="false" ht="15" hidden="false" customHeight="false" outlineLevel="0" collapsed="false">
      <c r="A32" s="5" t="n">
        <v>28</v>
      </c>
      <c r="B32" s="10" t="s">
        <v>186</v>
      </c>
      <c r="C32" s="13" t="s">
        <v>187</v>
      </c>
      <c r="D32" s="21" t="s">
        <v>188</v>
      </c>
      <c r="E32" s="5" t="s">
        <v>107</v>
      </c>
      <c r="F32" s="19" t="n">
        <v>0.0001</v>
      </c>
      <c r="G32" s="4" t="n">
        <v>100</v>
      </c>
      <c r="H32" s="9" t="n">
        <f aca="false">IF(F32="","",F32*IF(E32="linear",G32,IF(E32="log",LN(G32+1),SQRT(G32))))</f>
        <v>0.001</v>
      </c>
    </row>
    <row r="33" customFormat="false" ht="15" hidden="false" customHeight="false" outlineLevel="0" collapsed="false">
      <c r="A33" s="5" t="n">
        <v>29</v>
      </c>
      <c r="B33" s="10" t="s">
        <v>189</v>
      </c>
      <c r="C33" s="13" t="s">
        <v>190</v>
      </c>
      <c r="D33" s="30" t="s">
        <v>191</v>
      </c>
      <c r="E33" s="5" t="s">
        <v>107</v>
      </c>
      <c r="F33" s="19" t="n">
        <v>0.0001</v>
      </c>
      <c r="G33" s="4" t="n">
        <v>100</v>
      </c>
      <c r="H33" s="9" t="n">
        <f aca="false">IF(F33="","",F33*IF(E33="linear",G33,IF(E33="log",LN(G33+1),SQRT(G33))))</f>
        <v>0.001</v>
      </c>
    </row>
    <row r="34" customFormat="false" ht="15" hidden="false" customHeight="false" outlineLevel="0" collapsed="false">
      <c r="A34" s="5" t="n">
        <v>30</v>
      </c>
      <c r="B34" s="10" t="s">
        <v>192</v>
      </c>
      <c r="C34" s="13" t="s">
        <v>193</v>
      </c>
      <c r="D34" s="21" t="s">
        <v>194</v>
      </c>
      <c r="E34" s="5" t="s">
        <v>164</v>
      </c>
      <c r="F34" s="31" t="n">
        <f aca="false">0.5*Globals!$B$22</f>
        <v>0.5</v>
      </c>
      <c r="G34" s="4" t="n">
        <v>100000000</v>
      </c>
      <c r="H34" s="5" t="n">
        <f aca="false">IF(F34="","",F34*IF(E34="linear",G34,IF(E34="log",LN(G34+1),SQRT(G34))))</f>
        <v>9.21034037697618</v>
      </c>
    </row>
    <row r="35" customFormat="false" ht="15" hidden="false" customHeight="false" outlineLevel="0" collapsed="false">
      <c r="A35" s="5" t="n">
        <v>31</v>
      </c>
      <c r="B35" s="10" t="s">
        <v>195</v>
      </c>
      <c r="C35" s="13" t="s">
        <v>196</v>
      </c>
      <c r="D35" s="0"/>
      <c r="E35" s="5" t="s">
        <v>107</v>
      </c>
      <c r="F35" s="19" t="n">
        <v>0.0001</v>
      </c>
      <c r="G35" s="4" t="n">
        <v>100</v>
      </c>
      <c r="H35" s="9" t="n">
        <f aca="false">IF(F35="","",F35*IF(E35="linear",G35,IF(E35="log",LN(G35+1),SQRT(G35))))</f>
        <v>0.001</v>
      </c>
    </row>
    <row r="36" customFormat="false" ht="15" hidden="false" customHeight="false" outlineLevel="0" collapsed="false">
      <c r="A36" s="5" t="n">
        <v>32</v>
      </c>
      <c r="B36" s="10" t="s">
        <v>197</v>
      </c>
      <c r="C36" s="13" t="s">
        <v>198</v>
      </c>
      <c r="D36" s="13" t="s">
        <v>199</v>
      </c>
      <c r="E36" s="5" t="s">
        <v>164</v>
      </c>
      <c r="F36" s="32" t="n">
        <f aca="false">0.01*Globals!$B$22</f>
        <v>0.01</v>
      </c>
      <c r="G36" s="4" t="n">
        <v>5832000</v>
      </c>
      <c r="H36" s="9" t="n">
        <f aca="false">IF(F36="","",F36*IF(E36="linear",G36,IF(E36="log",LN(G36+1),SQRT(G36))))</f>
        <v>0.155788707241384</v>
      </c>
    </row>
    <row r="37" customFormat="false" ht="15" hidden="false" customHeight="false" outlineLevel="0" collapsed="false">
      <c r="A37" s="5" t="n">
        <v>33</v>
      </c>
      <c r="B37" s="10" t="s">
        <v>200</v>
      </c>
      <c r="C37" s="13" t="s">
        <v>201</v>
      </c>
      <c r="D37" s="13" t="s">
        <v>202</v>
      </c>
      <c r="E37" s="5" t="s">
        <v>164</v>
      </c>
      <c r="F37" s="32" t="n">
        <f aca="false">0.01*Globals!$B$22</f>
        <v>0.01</v>
      </c>
      <c r="G37" s="4" t="n">
        <v>100000000</v>
      </c>
      <c r="H37" s="9" t="n">
        <f aca="false">IF(F37="","",F37*IF(E37="linear",G37,IF(E37="log",LN(G37+1),SQRT(G37))))</f>
        <v>0.184206807539524</v>
      </c>
    </row>
    <row r="38" customFormat="false" ht="15" hidden="false" customHeight="false" outlineLevel="0" collapsed="false">
      <c r="A38" s="5" t="n">
        <v>34</v>
      </c>
      <c r="B38" s="10" t="s">
        <v>203</v>
      </c>
      <c r="C38" s="13" t="s">
        <v>204</v>
      </c>
      <c r="D38" s="21" t="s">
        <v>205</v>
      </c>
      <c r="E38" s="5" t="s">
        <v>107</v>
      </c>
      <c r="F38" s="19" t="n">
        <v>0.0001</v>
      </c>
      <c r="G38" s="4" t="n">
        <v>100000</v>
      </c>
      <c r="H38" s="9" t="n">
        <f aca="false">IF(F38="","",F38*IF(E38="linear",G38,IF(E38="log",LN(G38+1),SQRT(G38))))</f>
        <v>0.0316227766016838</v>
      </c>
    </row>
    <row r="39" customFormat="false" ht="15" hidden="false" customHeight="false" outlineLevel="0" collapsed="false">
      <c r="A39" s="5" t="n">
        <v>35</v>
      </c>
      <c r="B39" s="10" t="s">
        <v>206</v>
      </c>
      <c r="C39" s="13" t="s">
        <v>207</v>
      </c>
      <c r="D39" s="25" t="s">
        <v>208</v>
      </c>
      <c r="E39" s="5" t="s">
        <v>107</v>
      </c>
      <c r="F39" s="19" t="n">
        <v>0.0001</v>
      </c>
      <c r="G39" s="4" t="n">
        <v>100</v>
      </c>
      <c r="H39" s="9" t="n">
        <f aca="false">IF(F39="","",F39*IF(E39="linear",G39,IF(E39="log",LN(G39+1),SQRT(G39))))</f>
        <v>0.001</v>
      </c>
    </row>
    <row r="40" customFormat="false" ht="15" hidden="false" customHeight="false" outlineLevel="0" collapsed="false">
      <c r="A40" s="5" t="n">
        <v>36</v>
      </c>
      <c r="B40" s="10" t="s">
        <v>209</v>
      </c>
      <c r="C40" s="13" t="s">
        <v>210</v>
      </c>
      <c r="D40" s="13" t="s">
        <v>211</v>
      </c>
      <c r="E40" s="5" t="s">
        <v>107</v>
      </c>
      <c r="F40" s="19" t="n">
        <v>0.0001</v>
      </c>
      <c r="G40" s="4" t="n">
        <v>100</v>
      </c>
      <c r="H40" s="9" t="n">
        <f aca="false">IF(F40="","",F40*IF(E40="linear",G40,IF(E40="log",LN(G40+1),SQRT(G40))))</f>
        <v>0.001</v>
      </c>
    </row>
    <row r="41" customFormat="false" ht="15" hidden="false" customHeight="false" outlineLevel="0" collapsed="false">
      <c r="A41" s="5" t="n">
        <v>37</v>
      </c>
      <c r="B41" s="10" t="s">
        <v>212</v>
      </c>
      <c r="C41" s="13" t="s">
        <v>213</v>
      </c>
      <c r="D41" s="18" t="s">
        <v>214</v>
      </c>
      <c r="E41" s="5" t="s">
        <v>107</v>
      </c>
      <c r="F41" s="19" t="n">
        <v>0.0001</v>
      </c>
      <c r="G41" s="4" t="n">
        <v>100</v>
      </c>
      <c r="H41" s="9" t="n">
        <f aca="false">IF(F41="","",F41*IF(E41="linear",G41,IF(E41="log",LN(G41+1),SQRT(G41))))</f>
        <v>0.001</v>
      </c>
    </row>
    <row r="42" customFormat="false" ht="15" hidden="false" customHeight="false" outlineLevel="0" collapsed="false">
      <c r="A42" s="5" t="n">
        <v>38</v>
      </c>
      <c r="B42" s="10" t="s">
        <v>215</v>
      </c>
      <c r="C42" s="13" t="s">
        <v>216</v>
      </c>
      <c r="D42" s="20" t="s">
        <v>217</v>
      </c>
      <c r="E42" s="5" t="s">
        <v>107</v>
      </c>
      <c r="F42" s="19" t="n">
        <v>0.0001</v>
      </c>
      <c r="G42" s="4" t="n">
        <v>100</v>
      </c>
      <c r="H42" s="9" t="n">
        <f aca="false">IF(F42="","",F42*IF(E42="linear",G42,IF(E42="log",LN(G42+1),SQRT(G42))))</f>
        <v>0.001</v>
      </c>
    </row>
    <row r="43" customFormat="false" ht="15" hidden="false" customHeight="false" outlineLevel="0" collapsed="false">
      <c r="A43" s="5" t="n">
        <v>39</v>
      </c>
      <c r="B43" s="10" t="s">
        <v>218</v>
      </c>
      <c r="C43" s="13" t="s">
        <v>219</v>
      </c>
      <c r="D43" s="13"/>
      <c r="E43" s="5" t="s">
        <v>107</v>
      </c>
      <c r="F43" s="19" t="n">
        <v>0.0001</v>
      </c>
      <c r="G43" s="4" t="n">
        <v>100</v>
      </c>
      <c r="H43" s="9" t="n">
        <f aca="false">IF(F43="","",F43*IF(E43="linear",G43,IF(E43="log",LN(G43+1),SQRT(G43))))</f>
        <v>0.001</v>
      </c>
    </row>
    <row r="44" customFormat="false" ht="15" hidden="false" customHeight="false" outlineLevel="0" collapsed="false">
      <c r="A44" s="5" t="n">
        <v>40</v>
      </c>
      <c r="B44" s="10" t="s">
        <v>220</v>
      </c>
      <c r="C44" s="13" t="s">
        <v>221</v>
      </c>
      <c r="D44" s="33" t="s">
        <v>222</v>
      </c>
      <c r="E44" s="5" t="s">
        <v>107</v>
      </c>
      <c r="F44" s="19" t="n">
        <v>0.0001</v>
      </c>
      <c r="G44" s="4" t="n">
        <v>100</v>
      </c>
      <c r="H44" s="9" t="n">
        <f aca="false">IF(F44="","",F44*IF(E44="linear",G44,IF(E44="log",LN(G44+1),SQRT(G44))))</f>
        <v>0.001</v>
      </c>
    </row>
    <row r="45" customFormat="false" ht="15" hidden="false" customHeight="false" outlineLevel="0" collapsed="false">
      <c r="A45" s="5" t="n">
        <v>41</v>
      </c>
      <c r="B45" s="10" t="s">
        <v>223</v>
      </c>
      <c r="C45" s="13" t="s">
        <v>224</v>
      </c>
      <c r="D45" s="13"/>
      <c r="E45" s="5" t="s">
        <v>107</v>
      </c>
      <c r="F45" s="19" t="n">
        <v>0.0001</v>
      </c>
      <c r="G45" s="4" t="n">
        <v>100</v>
      </c>
      <c r="H45" s="9" t="n">
        <f aca="false">IF(F45="","",F45*IF(E45="linear",G45,IF(E45="log",LN(G45+1),SQRT(G45))))</f>
        <v>0.001</v>
      </c>
    </row>
    <row r="46" customFormat="false" ht="15" hidden="false" customHeight="false" outlineLevel="0" collapsed="false">
      <c r="A46" s="5" t="n">
        <v>42</v>
      </c>
      <c r="B46" s="10" t="s">
        <v>225</v>
      </c>
      <c r="C46" s="13" t="s">
        <v>226</v>
      </c>
      <c r="D46" s="21" t="s">
        <v>227</v>
      </c>
      <c r="E46" s="5" t="s">
        <v>107</v>
      </c>
      <c r="F46" s="19" t="n">
        <v>0.0001</v>
      </c>
      <c r="G46" s="4" t="n">
        <v>100</v>
      </c>
      <c r="H46" s="9" t="n">
        <f aca="false">IF(F46="","",F46*IF(E46="linear",G46,IF(E46="log",LN(G46+1),SQRT(G46))))</f>
        <v>0.001</v>
      </c>
    </row>
    <row r="47" customFormat="false" ht="15" hidden="false" customHeight="false" outlineLevel="0" collapsed="false">
      <c r="A47" s="5" t="n">
        <v>43</v>
      </c>
      <c r="B47" s="10" t="s">
        <v>228</v>
      </c>
      <c r="C47" s="13" t="s">
        <v>229</v>
      </c>
      <c r="D47" s="28" t="s">
        <v>230</v>
      </c>
      <c r="E47" s="5" t="s">
        <v>164</v>
      </c>
      <c r="F47" s="19" t="n">
        <v>0.001</v>
      </c>
      <c r="G47" s="4" t="n">
        <v>100</v>
      </c>
      <c r="H47" s="9" t="n">
        <f aca="false">IF(F47="","",F47*IF(E47="linear",G47,IF(E47="log",LN(G47+1),SQRT(G47))))</f>
        <v>0.00461512051684126</v>
      </c>
    </row>
    <row r="48" customFormat="false" ht="15" hidden="false" customHeight="false" outlineLevel="0" collapsed="false">
      <c r="A48" s="5" t="n">
        <v>44</v>
      </c>
      <c r="B48" s="10" t="s">
        <v>231</v>
      </c>
      <c r="C48" s="13" t="s">
        <v>232</v>
      </c>
      <c r="D48" s="21" t="s">
        <v>233</v>
      </c>
      <c r="E48" s="5" t="s">
        <v>107</v>
      </c>
      <c r="F48" s="19" t="n">
        <v>0.0001</v>
      </c>
      <c r="G48" s="4" t="n">
        <v>100</v>
      </c>
      <c r="H48" s="9" t="n">
        <f aca="false">IF(F48="","",F48*IF(E48="linear",G48,IF(E48="log",LN(G48+1),SQRT(G48))))</f>
        <v>0.001</v>
      </c>
    </row>
    <row r="49" customFormat="false" ht="15" hidden="false" customHeight="false" outlineLevel="0" collapsed="false">
      <c r="A49" s="5" t="n">
        <v>45</v>
      </c>
      <c r="B49" s="10" t="s">
        <v>234</v>
      </c>
      <c r="C49" s="13" t="s">
        <v>235</v>
      </c>
      <c r="D49" s="23" t="s">
        <v>236</v>
      </c>
      <c r="E49" s="5" t="s">
        <v>107</v>
      </c>
      <c r="F49" s="19" t="n">
        <v>0.0001</v>
      </c>
      <c r="G49" s="4" t="n">
        <v>100</v>
      </c>
      <c r="H49" s="9" t="n">
        <f aca="false">IF(F49="","",F49*IF(E49="linear",G49,IF(E49="log",LN(G49+1),SQRT(G49))))</f>
        <v>0.001</v>
      </c>
    </row>
    <row r="50" customFormat="false" ht="15" hidden="false" customHeight="false" outlineLevel="0" collapsed="false">
      <c r="A50" s="5" t="n">
        <v>46</v>
      </c>
      <c r="B50" s="10" t="s">
        <v>237</v>
      </c>
      <c r="C50" s="13" t="s">
        <v>238</v>
      </c>
      <c r="D50" s="33" t="s">
        <v>239</v>
      </c>
      <c r="E50" s="5" t="s">
        <v>107</v>
      </c>
      <c r="F50" s="19" t="n">
        <v>0.0001</v>
      </c>
      <c r="G50" s="4" t="n">
        <v>100</v>
      </c>
      <c r="H50" s="9" t="n">
        <f aca="false">IF(F50="","",F50*IF(E50="linear",G50,IF(E50="log",LN(G50+1),SQRT(G50))))</f>
        <v>0.001</v>
      </c>
    </row>
    <row r="51" customFormat="false" ht="15" hidden="false" customHeight="false" outlineLevel="0" collapsed="false">
      <c r="A51" s="5" t="n">
        <v>47</v>
      </c>
      <c r="B51" s="10" t="s">
        <v>240</v>
      </c>
      <c r="C51" s="13" t="s">
        <v>241</v>
      </c>
      <c r="D51" s="30" t="s">
        <v>242</v>
      </c>
      <c r="E51" s="5" t="s">
        <v>107</v>
      </c>
      <c r="F51" s="19" t="n">
        <v>0.0001</v>
      </c>
      <c r="G51" s="4" t="n">
        <v>100</v>
      </c>
      <c r="H51" s="9" t="n">
        <f aca="false">IF(F51="","",F51*IF(E51="linear",G51,IF(E51="log",LN(G51+1),SQRT(G51))))</f>
        <v>0.001</v>
      </c>
    </row>
    <row r="52" customFormat="false" ht="15" hidden="false" customHeight="false" outlineLevel="0" collapsed="false">
      <c r="A52" s="5" t="n">
        <v>48</v>
      </c>
      <c r="B52" s="10" t="s">
        <v>243</v>
      </c>
      <c r="C52" s="13" t="s">
        <v>244</v>
      </c>
      <c r="D52" s="23" t="s">
        <v>245</v>
      </c>
      <c r="E52" s="5" t="s">
        <v>164</v>
      </c>
      <c r="F52" s="31" t="n">
        <f aca="false">3*Globals!$B$22</f>
        <v>3</v>
      </c>
      <c r="G52" s="4" t="n">
        <v>100000000</v>
      </c>
      <c r="H52" s="5" t="n">
        <f aca="false">IF(F52="","",F52*IF(E52="linear",G52,IF(E52="log",LN(G52+1),SQRT(G52))))</f>
        <v>55.2620422618571</v>
      </c>
    </row>
    <row r="53" customFormat="false" ht="15" hidden="false" customHeight="false" outlineLevel="0" collapsed="false">
      <c r="A53" s="5" t="n">
        <v>49</v>
      </c>
      <c r="B53" s="10" t="s">
        <v>246</v>
      </c>
      <c r="C53" s="13" t="s">
        <v>247</v>
      </c>
      <c r="D53" s="13" t="s">
        <v>248</v>
      </c>
      <c r="E53" s="5" t="s">
        <v>107</v>
      </c>
      <c r="F53" s="19" t="n">
        <v>0.0001</v>
      </c>
      <c r="G53" s="4" t="n">
        <v>100</v>
      </c>
      <c r="H53" s="9" t="n">
        <f aca="false">IF(F53="","",F53*IF(E53="linear",G53,IF(E53="log",LN(G53+1),SQRT(G53))))</f>
        <v>0.001</v>
      </c>
    </row>
    <row r="54" customFormat="false" ht="15" hidden="false" customHeight="false" outlineLevel="0" collapsed="false">
      <c r="A54" s="5" t="n">
        <v>50</v>
      </c>
      <c r="B54" s="10" t="s">
        <v>249</v>
      </c>
      <c r="C54" s="13" t="s">
        <v>250</v>
      </c>
      <c r="D54" s="23" t="s">
        <v>251</v>
      </c>
      <c r="E54" s="5" t="s">
        <v>107</v>
      </c>
      <c r="F54" s="19" t="n">
        <v>0.0001</v>
      </c>
      <c r="G54" s="4" t="n">
        <v>10000000</v>
      </c>
      <c r="H54" s="9" t="n">
        <f aca="false">IF(F54="","",F54*IF(E54="linear",G54,IF(E54="log",LN(G54+1),SQRT(G54))))</f>
        <v>0.316227766016838</v>
      </c>
    </row>
    <row r="55" customFormat="false" ht="15" hidden="false" customHeight="false" outlineLevel="0" collapsed="false">
      <c r="A55" s="5" t="n">
        <v>51</v>
      </c>
      <c r="B55" s="10" t="s">
        <v>252</v>
      </c>
      <c r="C55" s="13" t="s">
        <v>253</v>
      </c>
      <c r="D55" s="26" t="s">
        <v>254</v>
      </c>
      <c r="E55" s="5" t="s">
        <v>107</v>
      </c>
      <c r="F55" s="19" t="n">
        <v>0.0001</v>
      </c>
      <c r="G55" s="4" t="n">
        <v>100</v>
      </c>
      <c r="H55" s="9" t="n">
        <f aca="false">IF(F55="","",F55*IF(E55="linear",G55,IF(E55="log",LN(G55+1),SQRT(G55))))</f>
        <v>0.001</v>
      </c>
    </row>
    <row r="56" customFormat="false" ht="15" hidden="false" customHeight="false" outlineLevel="0" collapsed="false">
      <c r="A56" s="5" t="n">
        <v>52</v>
      </c>
      <c r="B56" s="10" t="s">
        <v>255</v>
      </c>
      <c r="C56" s="13" t="s">
        <v>256</v>
      </c>
      <c r="D56" s="21" t="s">
        <v>257</v>
      </c>
      <c r="E56" s="5" t="s">
        <v>107</v>
      </c>
      <c r="F56" s="19" t="n">
        <v>0.0001</v>
      </c>
      <c r="G56" s="4" t="n">
        <v>100000000</v>
      </c>
      <c r="H56" s="9" t="n">
        <f aca="false">IF(F56="","",F56*IF(E56="linear",G56,IF(E56="log",LN(G56+1),SQRT(G56))))</f>
        <v>1</v>
      </c>
    </row>
    <row r="57" customFormat="false" ht="15" hidden="false" customHeight="false" outlineLevel="0" collapsed="false">
      <c r="A57" s="5" t="n">
        <v>53</v>
      </c>
      <c r="B57" s="10" t="s">
        <v>258</v>
      </c>
      <c r="C57" s="13" t="s">
        <v>259</v>
      </c>
      <c r="D57" s="27" t="s">
        <v>260</v>
      </c>
      <c r="E57" s="5" t="s">
        <v>164</v>
      </c>
      <c r="F57" s="19" t="n">
        <v>1</v>
      </c>
      <c r="G57" s="4" t="n">
        <v>100</v>
      </c>
      <c r="H57" s="9" t="n">
        <f aca="false">IF(F57="","",F57*IF(E57="linear",G57,IF(E57="log",LN(G57+1),SQRT(G57))))</f>
        <v>4.61512051684126</v>
      </c>
    </row>
    <row r="58" customFormat="false" ht="15" hidden="false" customHeight="false" outlineLevel="0" collapsed="false">
      <c r="A58" s="5" t="n">
        <v>54</v>
      </c>
      <c r="B58" s="10" t="s">
        <v>261</v>
      </c>
      <c r="C58" s="13" t="s">
        <v>262</v>
      </c>
      <c r="D58" s="21" t="s">
        <v>263</v>
      </c>
      <c r="E58" s="5" t="s">
        <v>107</v>
      </c>
      <c r="F58" s="19" t="n">
        <v>0.0001</v>
      </c>
      <c r="G58" s="4" t="n">
        <v>100</v>
      </c>
      <c r="H58" s="9" t="n">
        <f aca="false">IF(F58="","",F58*IF(E58="linear",G58,IF(E58="log",LN(G58+1),SQRT(G58))))</f>
        <v>0.001</v>
      </c>
    </row>
    <row r="59" customFormat="false" ht="15" hidden="false" customHeight="false" outlineLevel="0" collapsed="false">
      <c r="A59" s="5" t="n">
        <v>55</v>
      </c>
      <c r="B59" s="10" t="s">
        <v>264</v>
      </c>
      <c r="C59" s="13" t="s">
        <v>265</v>
      </c>
      <c r="D59" s="21" t="s">
        <v>266</v>
      </c>
      <c r="E59" s="5" t="s">
        <v>107</v>
      </c>
      <c r="F59" s="19" t="n">
        <v>0.0001</v>
      </c>
      <c r="G59" s="4" t="n">
        <v>100</v>
      </c>
      <c r="H59" s="9" t="n">
        <f aca="false">IF(F59="","",F59*IF(E59="linear",G59,IF(E59="log",LN(G59+1),SQRT(G59))))</f>
        <v>0.001</v>
      </c>
    </row>
    <row r="60" customFormat="false" ht="15" hidden="false" customHeight="false" outlineLevel="0" collapsed="false">
      <c r="A60" s="5" t="n">
        <v>56</v>
      </c>
      <c r="B60" s="10" t="s">
        <v>267</v>
      </c>
      <c r="C60" s="13" t="s">
        <v>268</v>
      </c>
      <c r="D60" s="22" t="s">
        <v>269</v>
      </c>
      <c r="E60" s="5" t="s">
        <v>107</v>
      </c>
      <c r="F60" s="19" t="n">
        <v>0.0001</v>
      </c>
      <c r="G60" s="4" t="n">
        <v>100</v>
      </c>
      <c r="H60" s="9" t="n">
        <f aca="false">IF(F60="","",F60*IF(E60="linear",G60,IF(E60="log",LN(G60+1),SQRT(G60))))</f>
        <v>0.001</v>
      </c>
    </row>
    <row r="61" customFormat="false" ht="15" hidden="false" customHeight="false" outlineLevel="0" collapsed="false">
      <c r="A61" s="5" t="n">
        <v>57</v>
      </c>
      <c r="B61" s="10" t="s">
        <v>270</v>
      </c>
      <c r="C61" s="13" t="s">
        <v>271</v>
      </c>
      <c r="D61" s="24" t="s">
        <v>272</v>
      </c>
      <c r="E61" s="5" t="s">
        <v>164</v>
      </c>
      <c r="F61" s="31" t="n">
        <f aca="false">0.3*Globals!$B$22</f>
        <v>0.3</v>
      </c>
      <c r="G61" s="4" t="n">
        <v>100</v>
      </c>
      <c r="H61" s="5" t="n">
        <f aca="false">IF(F61="","",F61*IF(E61="linear",G61,IF(E61="log",LN(G61+1),SQRT(G61))))</f>
        <v>1.38453615505238</v>
      </c>
    </row>
    <row r="62" customFormat="false" ht="15" hidden="false" customHeight="false" outlineLevel="0" collapsed="false">
      <c r="A62" s="5" t="n">
        <v>58</v>
      </c>
      <c r="B62" s="10" t="s">
        <v>273</v>
      </c>
      <c r="C62" s="13" t="s">
        <v>274</v>
      </c>
      <c r="D62" s="33" t="s">
        <v>275</v>
      </c>
      <c r="E62" s="5" t="s">
        <v>107</v>
      </c>
      <c r="F62" s="19" t="n">
        <v>0.0001</v>
      </c>
      <c r="G62" s="4" t="n">
        <v>100</v>
      </c>
      <c r="H62" s="9" t="n">
        <f aca="false">IF(F62="","",F62*IF(E62="linear",G62,IF(E62="log",LN(G62+1),SQRT(G62))))</f>
        <v>0.001</v>
      </c>
    </row>
    <row r="63" customFormat="false" ht="15" hidden="false" customHeight="false" outlineLevel="0" collapsed="false">
      <c r="A63" s="5" t="n">
        <v>59</v>
      </c>
      <c r="B63" s="10" t="s">
        <v>276</v>
      </c>
      <c r="C63" s="13" t="s">
        <v>277</v>
      </c>
      <c r="D63" s="25" t="s">
        <v>278</v>
      </c>
      <c r="E63" s="5" t="s">
        <v>107</v>
      </c>
      <c r="F63" s="19" t="n">
        <v>0.0001</v>
      </c>
      <c r="G63" s="4" t="n">
        <v>100</v>
      </c>
      <c r="H63" s="9" t="n">
        <f aca="false">IF(F63="","",F63*IF(E63="linear",G63,IF(E63="log",LN(G63+1),SQRT(G63))))</f>
        <v>0.001</v>
      </c>
    </row>
    <row r="64" customFormat="false" ht="15" hidden="false" customHeight="false" outlineLevel="0" collapsed="false">
      <c r="A64" s="5" t="n">
        <v>60</v>
      </c>
      <c r="B64" s="10" t="s">
        <v>279</v>
      </c>
      <c r="C64" s="13" t="s">
        <v>280</v>
      </c>
      <c r="D64" s="23" t="s">
        <v>281</v>
      </c>
      <c r="E64" s="5" t="s">
        <v>107</v>
      </c>
      <c r="F64" s="19" t="n">
        <v>0.0001</v>
      </c>
      <c r="G64" s="4" t="n">
        <v>100</v>
      </c>
      <c r="H64" s="9" t="n">
        <f aca="false">IF(F64="","",F64*IF(E64="linear",G64,IF(E64="log",LN(G64+1),SQRT(G64))))</f>
        <v>0.001</v>
      </c>
    </row>
    <row r="65" customFormat="false" ht="15" hidden="false" customHeight="false" outlineLevel="0" collapsed="false">
      <c r="A65" s="5" t="n">
        <v>61</v>
      </c>
      <c r="B65" s="10" t="s">
        <v>282</v>
      </c>
      <c r="C65" s="13" t="s">
        <v>283</v>
      </c>
      <c r="D65" s="23" t="s">
        <v>284</v>
      </c>
      <c r="E65" s="5" t="s">
        <v>107</v>
      </c>
      <c r="F65" s="19" t="n">
        <v>0.0001</v>
      </c>
      <c r="G65" s="4" t="n">
        <v>100</v>
      </c>
      <c r="H65" s="9" t="n">
        <f aca="false">IF(F65="","",F65*IF(E65="linear",G65,IF(E65="log",LN(G65+1),SQRT(G65))))</f>
        <v>0.001</v>
      </c>
    </row>
    <row r="66" customFormat="false" ht="15" hidden="false" customHeight="false" outlineLevel="0" collapsed="false">
      <c r="A66" s="5" t="n">
        <v>62</v>
      </c>
      <c r="B66" s="10" t="s">
        <v>285</v>
      </c>
      <c r="C66" s="13" t="s">
        <v>286</v>
      </c>
      <c r="D66" s="18" t="s">
        <v>287</v>
      </c>
      <c r="E66" s="5" t="s">
        <v>107</v>
      </c>
      <c r="F66" s="19" t="n">
        <v>0.0001</v>
      </c>
      <c r="G66" s="4" t="n">
        <v>100</v>
      </c>
      <c r="H66" s="9" t="n">
        <f aca="false">IF(F66="","",F66*IF(E66="linear",G66,IF(E66="log",LN(G66+1),SQRT(G66))))</f>
        <v>0.001</v>
      </c>
    </row>
    <row r="67" customFormat="false" ht="15" hidden="false" customHeight="false" outlineLevel="0" collapsed="false">
      <c r="A67" s="5" t="n">
        <v>63</v>
      </c>
      <c r="B67" s="10" t="s">
        <v>288</v>
      </c>
      <c r="C67" s="13" t="s">
        <v>289</v>
      </c>
      <c r="D67" s="30" t="s">
        <v>290</v>
      </c>
      <c r="E67" s="5" t="s">
        <v>107</v>
      </c>
      <c r="F67" s="19" t="n">
        <v>0.0001</v>
      </c>
      <c r="G67" s="4" t="n">
        <v>100</v>
      </c>
      <c r="H67" s="9" t="n">
        <f aca="false">IF(F67="","",F67*IF(E67="linear",G67,IF(E67="log",LN(G67+1),SQRT(G67))))</f>
        <v>0.001</v>
      </c>
    </row>
    <row r="68" customFormat="false" ht="15" hidden="false" customHeight="false" outlineLevel="0" collapsed="false">
      <c r="A68" s="5" t="n">
        <v>64</v>
      </c>
      <c r="B68" s="10" t="s">
        <v>291</v>
      </c>
      <c r="C68" s="13" t="s">
        <v>292</v>
      </c>
      <c r="D68" s="30" t="s">
        <v>293</v>
      </c>
      <c r="E68" s="5" t="s">
        <v>107</v>
      </c>
      <c r="F68" s="19" t="n">
        <v>0.0001</v>
      </c>
      <c r="G68" s="4" t="n">
        <v>100</v>
      </c>
      <c r="H68" s="9" t="n">
        <f aca="false">IF(F68="","",F68*IF(E68="linear",G68,IF(E68="log",LN(G68+1),SQRT(G68))))</f>
        <v>0.001</v>
      </c>
    </row>
    <row r="69" customFormat="false" ht="15" hidden="false" customHeight="false" outlineLevel="0" collapsed="false">
      <c r="A69" s="5" t="n">
        <v>65</v>
      </c>
      <c r="B69" s="10" t="s">
        <v>294</v>
      </c>
      <c r="C69" s="13" t="s">
        <v>295</v>
      </c>
      <c r="D69" s="21" t="s">
        <v>296</v>
      </c>
      <c r="E69" s="5" t="s">
        <v>107</v>
      </c>
      <c r="F69" s="32" t="n">
        <f aca="false">0.0001*Globals!$B$22</f>
        <v>0.0001</v>
      </c>
      <c r="G69" s="4" t="n">
        <v>100000000</v>
      </c>
      <c r="H69" s="9" t="n">
        <f aca="false">IF(F69="","",F69*IF(E69="linear",G69,IF(E69="log",LN(G69+1),SQRT(G69))))</f>
        <v>1</v>
      </c>
    </row>
    <row r="70" customFormat="false" ht="15" hidden="false" customHeight="false" outlineLevel="0" collapsed="false">
      <c r="A70" s="5" t="n">
        <v>66</v>
      </c>
      <c r="B70" s="10" t="s">
        <v>297</v>
      </c>
      <c r="C70" s="13" t="s">
        <v>298</v>
      </c>
      <c r="D70" s="27" t="s">
        <v>299</v>
      </c>
      <c r="E70" s="5" t="s">
        <v>164</v>
      </c>
      <c r="F70" s="19" t="n">
        <v>1</v>
      </c>
      <c r="G70" s="4" t="n">
        <v>1000</v>
      </c>
      <c r="H70" s="5" t="n">
        <f aca="false">IF(F70="","",F70*IF(E70="linear",G70,IF(E70="log",LN(G70+1),SQRT(G70))))</f>
        <v>6.90875477931522</v>
      </c>
    </row>
    <row r="71" customFormat="false" ht="15" hidden="false" customHeight="false" outlineLevel="0" collapsed="false">
      <c r="A71" s="5" t="n">
        <v>67</v>
      </c>
      <c r="B71" s="10" t="s">
        <v>300</v>
      </c>
      <c r="C71" s="13" t="s">
        <v>301</v>
      </c>
      <c r="D71" s="22" t="s">
        <v>302</v>
      </c>
      <c r="E71" s="5" t="s">
        <v>107</v>
      </c>
      <c r="F71" s="19" t="n">
        <v>0.0001</v>
      </c>
      <c r="G71" s="4" t="n">
        <v>100</v>
      </c>
      <c r="H71" s="9" t="n">
        <f aca="false">IF(F71="","",F71*IF(E71="linear",G71,IF(E71="log",LN(G71+1),SQRT(G71))))</f>
        <v>0.001</v>
      </c>
    </row>
    <row r="72" customFormat="false" ht="15" hidden="false" customHeight="false" outlineLevel="0" collapsed="false">
      <c r="A72" s="5" t="n">
        <v>68</v>
      </c>
      <c r="B72" s="10" t="s">
        <v>303</v>
      </c>
      <c r="C72" s="13" t="s">
        <v>304</v>
      </c>
      <c r="D72" s="25" t="s">
        <v>305</v>
      </c>
      <c r="E72" s="5" t="s">
        <v>107</v>
      </c>
      <c r="F72" s="19" t="n">
        <v>0.0001</v>
      </c>
      <c r="G72" s="4" t="n">
        <v>100</v>
      </c>
      <c r="H72" s="9" t="n">
        <f aca="false">IF(F72="","",F72*IF(E72="linear",G72,IF(E72="log",LN(G72+1),SQRT(G72))))</f>
        <v>0.001</v>
      </c>
    </row>
    <row r="73" customFormat="false" ht="15" hidden="false" customHeight="false" outlineLevel="0" collapsed="false">
      <c r="A73" s="5" t="n">
        <v>69</v>
      </c>
      <c r="B73" s="10" t="s">
        <v>306</v>
      </c>
      <c r="C73" s="13" t="s">
        <v>307</v>
      </c>
      <c r="D73" s="25" t="s">
        <v>308</v>
      </c>
      <c r="E73" s="5" t="s">
        <v>164</v>
      </c>
      <c r="F73" s="31" t="n">
        <f aca="false">0.5*Globals!$B$22</f>
        <v>0.5</v>
      </c>
      <c r="G73" s="4" t="n">
        <v>100000000</v>
      </c>
      <c r="H73" s="5" t="n">
        <f aca="false">IF(F73="","",F73*IF(E73="linear",G73,IF(E73="log",LN(G73+1),SQRT(G73))))</f>
        <v>9.21034037697618</v>
      </c>
    </row>
    <row r="74" customFormat="false" ht="15" hidden="false" customHeight="false" outlineLevel="0" collapsed="false">
      <c r="A74" s="5" t="n">
        <v>70</v>
      </c>
      <c r="B74" s="10" t="s">
        <v>309</v>
      </c>
      <c r="C74" s="13" t="s">
        <v>310</v>
      </c>
      <c r="D74" s="33" t="s">
        <v>311</v>
      </c>
      <c r="E74" s="5" t="s">
        <v>107</v>
      </c>
      <c r="F74" s="19" t="n">
        <v>0.0001</v>
      </c>
      <c r="G74" s="4" t="n">
        <v>100</v>
      </c>
      <c r="H74" s="9" t="n">
        <f aca="false">IF(F74="","",F74*IF(E74="linear",G74,IF(E74="log",LN(G74+1),SQRT(G74))))</f>
        <v>0.001</v>
      </c>
    </row>
    <row r="75" customFormat="false" ht="15" hidden="false" customHeight="false" outlineLevel="0" collapsed="false">
      <c r="A75" s="5" t="n">
        <v>71</v>
      </c>
      <c r="B75" s="10" t="s">
        <v>312</v>
      </c>
      <c r="C75" s="13" t="s">
        <v>313</v>
      </c>
      <c r="D75" s="33" t="s">
        <v>314</v>
      </c>
      <c r="E75" s="5" t="s">
        <v>107</v>
      </c>
      <c r="F75" s="19" t="n">
        <v>0.0001</v>
      </c>
      <c r="G75" s="4" t="n">
        <v>100</v>
      </c>
      <c r="H75" s="9" t="n">
        <f aca="false">IF(F75="","",F75*IF(E75="linear",G75,IF(E75="log",LN(G75+1),SQRT(G75))))</f>
        <v>0.001</v>
      </c>
    </row>
    <row r="76" customFormat="false" ht="15" hidden="false" customHeight="false" outlineLevel="0" collapsed="false">
      <c r="A76" s="5" t="n">
        <v>72</v>
      </c>
      <c r="B76" s="10" t="s">
        <v>315</v>
      </c>
      <c r="C76" s="13" t="s">
        <v>316</v>
      </c>
      <c r="D76" s="22" t="s">
        <v>317</v>
      </c>
      <c r="E76" s="5" t="s">
        <v>107</v>
      </c>
      <c r="F76" s="19" t="n">
        <v>0.0001</v>
      </c>
      <c r="G76" s="4" t="n">
        <v>100</v>
      </c>
      <c r="H76" s="9" t="n">
        <f aca="false">IF(F76="","",F76*IF(E76="linear",G76,IF(E76="log",LN(G76+1),SQRT(G76))))</f>
        <v>0.001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6" activeCellId="0" sqref="B36"/>
    </sheetView>
  </sheetViews>
  <sheetFormatPr defaultColWidth="8.6796875" defaultRowHeight="13.8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1" t="s">
        <v>318</v>
      </c>
    </row>
    <row r="2" customFormat="false" ht="13.8" hidden="false" customHeight="false" outlineLevel="0" collapsed="false">
      <c r="A2" s="12" t="s">
        <v>319</v>
      </c>
    </row>
    <row r="4" customFormat="false" ht="13.8" hidden="false" customHeight="false" outlineLevel="0" collapsed="false">
      <c r="A4" s="14" t="s">
        <v>320</v>
      </c>
      <c r="B4" s="14"/>
      <c r="C4" s="14"/>
    </row>
    <row r="5" customFormat="false" ht="15" hidden="false" customHeight="true" outlineLevel="0" collapsed="false">
      <c r="A5" s="34" t="s">
        <v>321</v>
      </c>
      <c r="B5" s="34"/>
      <c r="C5" s="34"/>
    </row>
    <row r="6" customFormat="false" ht="26.85" hidden="false" customHeight="false" outlineLevel="0" collapsed="false">
      <c r="A6" s="2" t="s">
        <v>322</v>
      </c>
      <c r="B6" s="2" t="s">
        <v>323</v>
      </c>
      <c r="C6" s="2" t="s">
        <v>324</v>
      </c>
    </row>
    <row r="7" customFormat="false" ht="13.8" hidden="false" customHeight="false" outlineLevel="0" collapsed="false">
      <c r="A7" s="35" t="s">
        <v>325</v>
      </c>
      <c r="B7" s="9" t="n">
        <v>0.001</v>
      </c>
      <c r="C7" s="13" t="s">
        <v>326</v>
      </c>
    </row>
    <row r="8" customFormat="false" ht="13.8" hidden="false" customHeight="false" outlineLevel="0" collapsed="false">
      <c r="A8" s="36" t="s">
        <v>327</v>
      </c>
      <c r="B8" s="9" t="n">
        <v>0.099</v>
      </c>
      <c r="C8" s="13" t="s">
        <v>328</v>
      </c>
    </row>
    <row r="9" customFormat="false" ht="13.8" hidden="false" customHeight="false" outlineLevel="0" collapsed="false">
      <c r="A9" s="37" t="s">
        <v>329</v>
      </c>
      <c r="B9" s="9" t="n">
        <v>0.25</v>
      </c>
      <c r="C9" s="13" t="s">
        <v>330</v>
      </c>
    </row>
    <row r="10" customFormat="false" ht="13.8" hidden="false" customHeight="false" outlineLevel="0" collapsed="false">
      <c r="A10" s="38" t="s">
        <v>331</v>
      </c>
      <c r="B10" s="9" t="n">
        <v>0.35</v>
      </c>
      <c r="C10" s="13" t="s">
        <v>332</v>
      </c>
    </row>
    <row r="11" customFormat="false" ht="13.8" hidden="false" customHeight="false" outlineLevel="0" collapsed="false">
      <c r="A11" s="39" t="s">
        <v>333</v>
      </c>
      <c r="B11" s="9" t="n">
        <v>0.2</v>
      </c>
      <c r="C11" s="13" t="s">
        <v>334</v>
      </c>
    </row>
    <row r="12" customFormat="false" ht="13.8" hidden="false" customHeight="false" outlineLevel="0" collapsed="false">
      <c r="A12" s="40" t="s">
        <v>335</v>
      </c>
      <c r="B12" s="9" t="n">
        <v>0.099</v>
      </c>
      <c r="C12" s="13" t="s">
        <v>336</v>
      </c>
    </row>
    <row r="13" customFormat="false" ht="13.8" hidden="false" customHeight="false" outlineLevel="0" collapsed="false">
      <c r="A13" s="41" t="s">
        <v>337</v>
      </c>
      <c r="B13" s="9" t="n">
        <v>0.001</v>
      </c>
      <c r="C13" s="13" t="s">
        <v>338</v>
      </c>
    </row>
    <row r="14" customFormat="false" ht="13.8" hidden="false" customHeight="false" outlineLevel="0" collapsed="false">
      <c r="A14" s="10" t="s">
        <v>339</v>
      </c>
      <c r="B14" s="42" t="n">
        <f aca="false">SUM(B7:B13)</f>
        <v>1</v>
      </c>
      <c r="C14" s="3" t="s">
        <v>340</v>
      </c>
    </row>
    <row r="16" customFormat="false" ht="13.8" hidden="false" customHeight="false" outlineLevel="0" collapsed="false">
      <c r="A16" s="14" t="s">
        <v>341</v>
      </c>
      <c r="B16" s="14"/>
      <c r="C16" s="14"/>
    </row>
    <row r="17" customFormat="false" ht="15" hidden="false" customHeight="true" outlineLevel="0" collapsed="false">
      <c r="A17" s="34" t="s">
        <v>342</v>
      </c>
      <c r="B17" s="34"/>
      <c r="C17" s="34"/>
    </row>
    <row r="18" customFormat="false" ht="26.85" hidden="false" customHeight="false" outlineLevel="0" collapsed="false">
      <c r="A18" s="43" t="s">
        <v>322</v>
      </c>
      <c r="B18" s="43" t="s">
        <v>323</v>
      </c>
      <c r="C18" s="43" t="s">
        <v>324</v>
      </c>
    </row>
    <row r="19" customFormat="false" ht="13.8" hidden="false" customHeight="false" outlineLevel="0" collapsed="false">
      <c r="A19" s="35" t="s">
        <v>325</v>
      </c>
      <c r="B19" s="9" t="n">
        <v>0.01</v>
      </c>
      <c r="C19" s="13" t="s">
        <v>343</v>
      </c>
    </row>
    <row r="20" customFormat="false" ht="13.8" hidden="false" customHeight="false" outlineLevel="0" collapsed="false">
      <c r="A20" s="36" t="s">
        <v>327</v>
      </c>
      <c r="B20" s="9" t="n">
        <v>0.15</v>
      </c>
      <c r="C20" s="13" t="s">
        <v>344</v>
      </c>
    </row>
    <row r="21" customFormat="false" ht="13.8" hidden="false" customHeight="false" outlineLevel="0" collapsed="false">
      <c r="A21" s="37" t="s">
        <v>329</v>
      </c>
      <c r="B21" s="9" t="n">
        <v>0.3</v>
      </c>
      <c r="C21" s="13" t="s">
        <v>344</v>
      </c>
    </row>
    <row r="22" customFormat="false" ht="13.8" hidden="false" customHeight="false" outlineLevel="0" collapsed="false">
      <c r="A22" s="38" t="s">
        <v>331</v>
      </c>
      <c r="B22" s="9" t="n">
        <v>0.3</v>
      </c>
      <c r="C22" s="13" t="s">
        <v>332</v>
      </c>
    </row>
    <row r="23" customFormat="false" ht="13.8" hidden="false" customHeight="false" outlineLevel="0" collapsed="false">
      <c r="A23" s="39" t="s">
        <v>333</v>
      </c>
      <c r="B23" s="9" t="n">
        <v>0.17</v>
      </c>
      <c r="C23" s="13" t="s">
        <v>334</v>
      </c>
    </row>
    <row r="24" customFormat="false" ht="13.8" hidden="false" customHeight="false" outlineLevel="0" collapsed="false">
      <c r="A24" s="40" t="s">
        <v>335</v>
      </c>
      <c r="B24" s="9" t="n">
        <v>0.069</v>
      </c>
      <c r="C24" s="13" t="s">
        <v>336</v>
      </c>
    </row>
    <row r="25" customFormat="false" ht="13.8" hidden="false" customHeight="false" outlineLevel="0" collapsed="false">
      <c r="A25" s="41" t="s">
        <v>337</v>
      </c>
      <c r="B25" s="9" t="n">
        <v>0.001</v>
      </c>
      <c r="C25" s="13" t="s">
        <v>338</v>
      </c>
    </row>
    <row r="26" customFormat="false" ht="13.8" hidden="false" customHeight="false" outlineLevel="0" collapsed="false">
      <c r="A26" s="10" t="s">
        <v>339</v>
      </c>
      <c r="B26" s="42" t="n">
        <f aca="false">SUM(B19:B25)</f>
        <v>1</v>
      </c>
      <c r="C26" s="3" t="s">
        <v>340</v>
      </c>
    </row>
    <row r="28" customFormat="false" ht="13.8" hidden="false" customHeight="false" outlineLevel="0" collapsed="false">
      <c r="A28" s="14" t="s">
        <v>345</v>
      </c>
      <c r="B28" s="14"/>
      <c r="C28" s="14"/>
    </row>
    <row r="29" customFormat="false" ht="15" hidden="false" customHeight="true" outlineLevel="0" collapsed="false">
      <c r="A29" s="34" t="s">
        <v>346</v>
      </c>
      <c r="B29" s="34"/>
      <c r="C29" s="34"/>
    </row>
    <row r="30" customFormat="false" ht="26.85" hidden="false" customHeight="false" outlineLevel="0" collapsed="false">
      <c r="A30" s="2" t="s">
        <v>322</v>
      </c>
      <c r="B30" s="2" t="s">
        <v>323</v>
      </c>
      <c r="C30" s="2" t="s">
        <v>324</v>
      </c>
    </row>
    <row r="31" customFormat="false" ht="13.8" hidden="false" customHeight="false" outlineLevel="0" collapsed="false">
      <c r="A31" s="35" t="s">
        <v>325</v>
      </c>
      <c r="B31" s="9" t="n">
        <v>0.035</v>
      </c>
      <c r="C31" s="13" t="s">
        <v>347</v>
      </c>
    </row>
    <row r="32" customFormat="false" ht="13.8" hidden="false" customHeight="false" outlineLevel="0" collapsed="false">
      <c r="A32" s="36" t="s">
        <v>327</v>
      </c>
      <c r="B32" s="9" t="n">
        <v>0.18</v>
      </c>
      <c r="C32" s="13" t="s">
        <v>343</v>
      </c>
    </row>
    <row r="33" customFormat="false" ht="13.8" hidden="false" customHeight="false" outlineLevel="0" collapsed="false">
      <c r="A33" s="37" t="s">
        <v>329</v>
      </c>
      <c r="B33" s="9" t="n">
        <v>0.21</v>
      </c>
      <c r="C33" s="13" t="s">
        <v>348</v>
      </c>
    </row>
    <row r="34" customFormat="false" ht="13.8" hidden="false" customHeight="false" outlineLevel="0" collapsed="false">
      <c r="A34" s="38" t="s">
        <v>331</v>
      </c>
      <c r="B34" s="9" t="n">
        <v>0.235</v>
      </c>
      <c r="C34" s="13" t="s">
        <v>332</v>
      </c>
    </row>
    <row r="35" customFormat="false" ht="13.8" hidden="false" customHeight="false" outlineLevel="0" collapsed="false">
      <c r="A35" s="39" t="s">
        <v>333</v>
      </c>
      <c r="B35" s="9" t="n">
        <v>0.15</v>
      </c>
      <c r="C35" s="13" t="s">
        <v>334</v>
      </c>
    </row>
    <row r="36" customFormat="false" ht="13.8" hidden="false" customHeight="false" outlineLevel="0" collapsed="false">
      <c r="A36" s="40" t="s">
        <v>335</v>
      </c>
      <c r="B36" s="9" t="n">
        <v>0.155</v>
      </c>
      <c r="C36" s="13" t="s">
        <v>349</v>
      </c>
    </row>
    <row r="37" customFormat="false" ht="13.8" hidden="false" customHeight="false" outlineLevel="0" collapsed="false">
      <c r="A37" s="41" t="s">
        <v>337</v>
      </c>
      <c r="B37" s="9" t="n">
        <v>0.035</v>
      </c>
      <c r="C37" s="13" t="s">
        <v>338</v>
      </c>
    </row>
    <row r="38" customFormat="false" ht="13.8" hidden="false" customHeight="false" outlineLevel="0" collapsed="false">
      <c r="A38" s="10" t="s">
        <v>339</v>
      </c>
      <c r="B38" s="42" t="n">
        <f aca="false">SUM(B31:B37)</f>
        <v>1</v>
      </c>
      <c r="C38" s="3" t="s">
        <v>340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28" activeCellId="0" sqref="A2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1" t="s">
        <v>350</v>
      </c>
    </row>
    <row r="2" customFormat="false" ht="15" hidden="false" customHeight="false" outlineLevel="0" collapsed="false">
      <c r="A2" s="12" t="s">
        <v>351</v>
      </c>
    </row>
    <row r="4" customFormat="false" ht="15" hidden="false" customHeight="false" outlineLevel="0" collapsed="false">
      <c r="A4" s="14" t="s">
        <v>352</v>
      </c>
      <c r="B4" s="14"/>
      <c r="C4" s="14"/>
    </row>
    <row r="5" customFormat="false" ht="15" hidden="false" customHeight="true" outlineLevel="0" collapsed="false">
      <c r="A5" s="34" t="s">
        <v>353</v>
      </c>
      <c r="B5" s="34"/>
      <c r="C5" s="34"/>
    </row>
    <row r="6" customFormat="false" ht="26.85" hidden="false" customHeight="false" outlineLevel="0" collapsed="false">
      <c r="A6" s="2" t="s">
        <v>322</v>
      </c>
      <c r="B6" s="2" t="s">
        <v>323</v>
      </c>
      <c r="C6" s="2" t="s">
        <v>324</v>
      </c>
    </row>
    <row r="7" customFormat="false" ht="16.4" hidden="false" customHeight="true" outlineLevel="0" collapsed="false">
      <c r="A7" s="35" t="s">
        <v>325</v>
      </c>
      <c r="B7" s="6" t="n">
        <v>0.01</v>
      </c>
      <c r="C7" s="13" t="s">
        <v>354</v>
      </c>
    </row>
    <row r="8" customFormat="false" ht="15" hidden="false" customHeight="false" outlineLevel="0" collapsed="false">
      <c r="A8" s="36" t="s">
        <v>327</v>
      </c>
      <c r="B8" s="6" t="n">
        <v>0.05</v>
      </c>
      <c r="C8" s="13" t="s">
        <v>355</v>
      </c>
    </row>
    <row r="9" customFormat="false" ht="15" hidden="false" customHeight="false" outlineLevel="0" collapsed="false">
      <c r="A9" s="37" t="s">
        <v>329</v>
      </c>
      <c r="B9" s="6" t="n">
        <v>0.66</v>
      </c>
      <c r="C9" s="13" t="s">
        <v>356</v>
      </c>
    </row>
    <row r="10" customFormat="false" ht="15" hidden="false" customHeight="false" outlineLevel="0" collapsed="false">
      <c r="A10" s="38" t="s">
        <v>331</v>
      </c>
      <c r="B10" s="6" t="n">
        <v>0.15</v>
      </c>
      <c r="C10" s="13" t="s">
        <v>357</v>
      </c>
    </row>
    <row r="11" customFormat="false" ht="15" hidden="false" customHeight="false" outlineLevel="0" collapsed="false">
      <c r="A11" s="39" t="s">
        <v>333</v>
      </c>
      <c r="B11" s="6" t="n">
        <v>0.1</v>
      </c>
      <c r="C11" s="13" t="s">
        <v>358</v>
      </c>
    </row>
    <row r="12" customFormat="false" ht="15" hidden="false" customHeight="false" outlineLevel="0" collapsed="false">
      <c r="A12" s="40" t="s">
        <v>335</v>
      </c>
      <c r="B12" s="6" t="n">
        <v>0.02</v>
      </c>
      <c r="C12" s="13" t="s">
        <v>359</v>
      </c>
    </row>
    <row r="13" customFormat="false" ht="22.35" hidden="false" customHeight="true" outlineLevel="0" collapsed="false">
      <c r="A13" s="41" t="s">
        <v>337</v>
      </c>
      <c r="B13" s="6" t="n">
        <v>0.01</v>
      </c>
      <c r="C13" s="44" t="s">
        <v>360</v>
      </c>
    </row>
    <row r="14" customFormat="false" ht="15" hidden="false" customHeight="false" outlineLevel="0" collapsed="false">
      <c r="A14" s="10" t="s">
        <v>339</v>
      </c>
      <c r="B14" s="42" t="n">
        <f aca="false">SUM(B7:B13)</f>
        <v>1</v>
      </c>
      <c r="C14" s="3" t="s">
        <v>340</v>
      </c>
    </row>
    <row r="16" customFormat="false" ht="15" hidden="false" customHeight="false" outlineLevel="0" collapsed="false">
      <c r="A16" s="14" t="s">
        <v>361</v>
      </c>
      <c r="B16" s="14"/>
      <c r="C16" s="14"/>
    </row>
    <row r="17" customFormat="false" ht="15" hidden="false" customHeight="true" outlineLevel="0" collapsed="false">
      <c r="A17" s="34" t="s">
        <v>362</v>
      </c>
      <c r="B17" s="34"/>
      <c r="C17" s="34"/>
    </row>
    <row r="18" customFormat="false" ht="26.85" hidden="false" customHeight="false" outlineLevel="0" collapsed="false">
      <c r="A18" s="2" t="s">
        <v>322</v>
      </c>
      <c r="B18" s="2" t="s">
        <v>323</v>
      </c>
      <c r="C18" s="2" t="s">
        <v>324</v>
      </c>
    </row>
    <row r="19" customFormat="false" ht="15" hidden="false" customHeight="false" outlineLevel="0" collapsed="false">
      <c r="A19" s="35" t="s">
        <v>325</v>
      </c>
      <c r="B19" s="6" t="n">
        <v>0.015</v>
      </c>
      <c r="C19" s="13" t="s">
        <v>363</v>
      </c>
    </row>
    <row r="20" customFormat="false" ht="15" hidden="false" customHeight="false" outlineLevel="0" collapsed="false">
      <c r="A20" s="36" t="s">
        <v>327</v>
      </c>
      <c r="B20" s="6" t="n">
        <v>0.06</v>
      </c>
      <c r="C20" s="13" t="s">
        <v>364</v>
      </c>
    </row>
    <row r="21" customFormat="false" ht="15" hidden="false" customHeight="false" outlineLevel="0" collapsed="false">
      <c r="A21" s="37" t="s">
        <v>329</v>
      </c>
      <c r="B21" s="6" t="n">
        <v>0.6</v>
      </c>
      <c r="C21" s="13" t="s">
        <v>365</v>
      </c>
    </row>
    <row r="22" customFormat="false" ht="15" hidden="false" customHeight="false" outlineLevel="0" collapsed="false">
      <c r="A22" s="38" t="s">
        <v>331</v>
      </c>
      <c r="B22" s="6" t="n">
        <v>0.15</v>
      </c>
      <c r="C22" s="13" t="s">
        <v>357</v>
      </c>
    </row>
    <row r="23" customFormat="false" ht="15" hidden="false" customHeight="false" outlineLevel="0" collapsed="false">
      <c r="A23" s="39" t="s">
        <v>333</v>
      </c>
      <c r="B23" s="6" t="n">
        <v>0.1</v>
      </c>
      <c r="C23" s="13" t="s">
        <v>366</v>
      </c>
    </row>
    <row r="24" customFormat="false" ht="15" hidden="false" customHeight="false" outlineLevel="0" collapsed="false">
      <c r="A24" s="40" t="s">
        <v>335</v>
      </c>
      <c r="B24" s="6" t="n">
        <v>0.06</v>
      </c>
      <c r="C24" s="13" t="s">
        <v>367</v>
      </c>
    </row>
    <row r="25" customFormat="false" ht="15" hidden="false" customHeight="false" outlineLevel="0" collapsed="false">
      <c r="A25" s="41" t="s">
        <v>337</v>
      </c>
      <c r="B25" s="6" t="n">
        <v>0.015</v>
      </c>
      <c r="C25" s="44" t="s">
        <v>360</v>
      </c>
    </row>
    <row r="26" customFormat="false" ht="15" hidden="false" customHeight="false" outlineLevel="0" collapsed="false">
      <c r="A26" s="10" t="s">
        <v>339</v>
      </c>
      <c r="B26" s="42" t="n">
        <f aca="false">SUM(B19:B25)</f>
        <v>1</v>
      </c>
      <c r="C26" s="3" t="s">
        <v>340</v>
      </c>
    </row>
    <row r="28" customFormat="false" ht="15" hidden="false" customHeight="false" outlineLevel="0" collapsed="false">
      <c r="A28" s="14" t="s">
        <v>368</v>
      </c>
      <c r="B28" s="14"/>
      <c r="C28" s="14"/>
    </row>
    <row r="29" customFormat="false" ht="15" hidden="false" customHeight="true" outlineLevel="0" collapsed="false">
      <c r="A29" s="34" t="s">
        <v>369</v>
      </c>
      <c r="B29" s="34"/>
      <c r="C29" s="34"/>
    </row>
    <row r="30" customFormat="false" ht="26.85" hidden="false" customHeight="false" outlineLevel="0" collapsed="false">
      <c r="A30" s="2" t="s">
        <v>322</v>
      </c>
      <c r="B30" s="2" t="s">
        <v>323</v>
      </c>
      <c r="C30" s="2" t="s">
        <v>324</v>
      </c>
    </row>
    <row r="31" customFormat="false" ht="15" hidden="false" customHeight="false" outlineLevel="0" collapsed="false">
      <c r="A31" s="35" t="s">
        <v>325</v>
      </c>
      <c r="B31" s="6" t="n">
        <v>0.025</v>
      </c>
      <c r="C31" s="13" t="s">
        <v>370</v>
      </c>
    </row>
    <row r="32" customFormat="false" ht="15" hidden="false" customHeight="false" outlineLevel="0" collapsed="false">
      <c r="A32" s="36" t="s">
        <v>327</v>
      </c>
      <c r="B32" s="6" t="n">
        <v>0.1</v>
      </c>
      <c r="C32" s="13" t="s">
        <v>371</v>
      </c>
    </row>
    <row r="33" customFormat="false" ht="15" hidden="false" customHeight="false" outlineLevel="0" collapsed="false">
      <c r="A33" s="37" t="s">
        <v>329</v>
      </c>
      <c r="B33" s="6" t="n">
        <v>0.3</v>
      </c>
      <c r="C33" s="13" t="s">
        <v>372</v>
      </c>
    </row>
    <row r="34" customFormat="false" ht="15" hidden="false" customHeight="false" outlineLevel="0" collapsed="false">
      <c r="A34" s="38" t="s">
        <v>331</v>
      </c>
      <c r="B34" s="6" t="n">
        <v>0.3</v>
      </c>
      <c r="C34" s="13" t="s">
        <v>357</v>
      </c>
    </row>
    <row r="35" customFormat="false" ht="15" hidden="false" customHeight="false" outlineLevel="0" collapsed="false">
      <c r="A35" s="39" t="s">
        <v>333</v>
      </c>
      <c r="B35" s="6" t="n">
        <v>0.15</v>
      </c>
      <c r="C35" s="13" t="s">
        <v>366</v>
      </c>
    </row>
    <row r="36" customFormat="false" ht="15" hidden="false" customHeight="false" outlineLevel="0" collapsed="false">
      <c r="A36" s="40" t="s">
        <v>335</v>
      </c>
      <c r="B36" s="6" t="n">
        <v>0.1</v>
      </c>
      <c r="C36" s="13" t="s">
        <v>373</v>
      </c>
    </row>
    <row r="37" customFormat="false" ht="15" hidden="false" customHeight="false" outlineLevel="0" collapsed="false">
      <c r="A37" s="41" t="s">
        <v>337</v>
      </c>
      <c r="B37" s="6" t="n">
        <v>0.025</v>
      </c>
      <c r="C37" s="13" t="s">
        <v>374</v>
      </c>
    </row>
    <row r="38" customFormat="false" ht="15" hidden="false" customHeight="false" outlineLevel="0" collapsed="false">
      <c r="A38" s="10" t="s">
        <v>339</v>
      </c>
      <c r="B38" s="42" t="n">
        <f aca="false">SUM(B31:B37)</f>
        <v>1</v>
      </c>
      <c r="C38" s="3" t="s">
        <v>340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1" t="s">
        <v>375</v>
      </c>
    </row>
    <row r="2" customFormat="false" ht="15" hidden="false" customHeight="false" outlineLevel="0" collapsed="false">
      <c r="A2" s="12" t="s">
        <v>376</v>
      </c>
    </row>
    <row r="4" customFormat="false" ht="15" hidden="false" customHeight="false" outlineLevel="0" collapsed="false">
      <c r="A4" s="2" t="s">
        <v>377</v>
      </c>
      <c r="B4" s="2" t="s">
        <v>378</v>
      </c>
      <c r="C4" s="2" t="s">
        <v>324</v>
      </c>
      <c r="D4" s="2" t="s">
        <v>379</v>
      </c>
    </row>
    <row r="5" customFormat="false" ht="15" hidden="false" customHeight="false" outlineLevel="0" collapsed="false">
      <c r="A5" s="35" t="s">
        <v>325</v>
      </c>
      <c r="B5" s="9" t="n">
        <v>0.001</v>
      </c>
      <c r="C5" s="13" t="s">
        <v>380</v>
      </c>
      <c r="D5" s="3" t="s">
        <v>381</v>
      </c>
    </row>
    <row r="6" customFormat="false" ht="15" hidden="false" customHeight="false" outlineLevel="0" collapsed="false">
      <c r="A6" s="36" t="s">
        <v>327</v>
      </c>
      <c r="B6" s="9" t="n">
        <v>0.049</v>
      </c>
      <c r="C6" s="13" t="s">
        <v>382</v>
      </c>
    </row>
    <row r="7" customFormat="false" ht="15" hidden="false" customHeight="false" outlineLevel="0" collapsed="false">
      <c r="A7" s="37" t="s">
        <v>329</v>
      </c>
      <c r="B7" s="9" t="n">
        <v>0.2</v>
      </c>
      <c r="C7" s="13" t="s">
        <v>383</v>
      </c>
    </row>
    <row r="8" customFormat="false" ht="15" hidden="false" customHeight="false" outlineLevel="0" collapsed="false">
      <c r="A8" s="38" t="s">
        <v>331</v>
      </c>
      <c r="B8" s="9" t="n">
        <v>0.5</v>
      </c>
      <c r="C8" s="13" t="s">
        <v>384</v>
      </c>
    </row>
    <row r="9" customFormat="false" ht="15" hidden="false" customHeight="false" outlineLevel="0" collapsed="false">
      <c r="A9" s="39" t="s">
        <v>333</v>
      </c>
      <c r="B9" s="9" t="n">
        <v>0.15</v>
      </c>
      <c r="C9" s="13" t="s">
        <v>385</v>
      </c>
    </row>
    <row r="10" customFormat="false" ht="15" hidden="false" customHeight="false" outlineLevel="0" collapsed="false">
      <c r="A10" s="40" t="s">
        <v>335</v>
      </c>
      <c r="B10" s="9" t="n">
        <v>0.049</v>
      </c>
      <c r="C10" s="13" t="s">
        <v>386</v>
      </c>
    </row>
    <row r="11" customFormat="false" ht="15" hidden="false" customHeight="false" outlineLevel="0" collapsed="false">
      <c r="A11" s="41" t="s">
        <v>337</v>
      </c>
      <c r="B11" s="9" t="n">
        <v>0.001</v>
      </c>
      <c r="C11" s="13" t="s">
        <v>387</v>
      </c>
    </row>
    <row r="12" customFormat="false" ht="15" hidden="false" customHeight="false" outlineLevel="0" collapsed="false">
      <c r="A12" s="10" t="s">
        <v>388</v>
      </c>
      <c r="B12" s="42" t="n">
        <f aca="false">SUM(B5:B11)</f>
        <v>0.95</v>
      </c>
      <c r="C12" s="3"/>
    </row>
    <row r="14" customFormat="false" ht="15" hidden="false" customHeight="false" outlineLevel="0" collapsed="false">
      <c r="A14" s="2" t="s">
        <v>389</v>
      </c>
      <c r="B14" s="2" t="s">
        <v>378</v>
      </c>
      <c r="C14" s="2" t="s">
        <v>324</v>
      </c>
      <c r="D14" s="2" t="s">
        <v>390</v>
      </c>
    </row>
    <row r="15" customFormat="false" ht="15" hidden="false" customHeight="false" outlineLevel="0" collapsed="false">
      <c r="A15" s="35" t="s">
        <v>325</v>
      </c>
      <c r="B15" s="9" t="n">
        <v>0.01</v>
      </c>
      <c r="C15" s="13" t="s">
        <v>391</v>
      </c>
      <c r="D15" s="3" t="s">
        <v>392</v>
      </c>
    </row>
    <row r="16" customFormat="false" ht="15" hidden="false" customHeight="false" outlineLevel="0" collapsed="false">
      <c r="A16" s="36" t="s">
        <v>327</v>
      </c>
      <c r="B16" s="9" t="n">
        <v>0.04</v>
      </c>
      <c r="C16" s="13" t="s">
        <v>393</v>
      </c>
    </row>
    <row r="17" customFormat="false" ht="15" hidden="false" customHeight="false" outlineLevel="0" collapsed="false">
      <c r="A17" s="37" t="s">
        <v>329</v>
      </c>
      <c r="B17" s="9" t="n">
        <v>0.1</v>
      </c>
      <c r="C17" s="13" t="s">
        <v>394</v>
      </c>
    </row>
    <row r="18" customFormat="false" ht="15" hidden="false" customHeight="false" outlineLevel="0" collapsed="false">
      <c r="A18" s="38" t="s">
        <v>331</v>
      </c>
      <c r="B18" s="9" t="n">
        <v>0.7</v>
      </c>
      <c r="C18" s="13" t="s">
        <v>395</v>
      </c>
    </row>
    <row r="19" customFormat="false" ht="15" hidden="false" customHeight="false" outlineLevel="0" collapsed="false">
      <c r="A19" s="39" t="s">
        <v>333</v>
      </c>
      <c r="B19" s="9" t="n">
        <v>0.1</v>
      </c>
      <c r="C19" s="13" t="s">
        <v>385</v>
      </c>
    </row>
    <row r="20" customFormat="false" ht="15" hidden="false" customHeight="false" outlineLevel="0" collapsed="false">
      <c r="A20" s="40" t="s">
        <v>335</v>
      </c>
      <c r="B20" s="9" t="n">
        <v>0.049</v>
      </c>
      <c r="C20" s="13" t="s">
        <v>396</v>
      </c>
    </row>
    <row r="21" customFormat="false" ht="15" hidden="false" customHeight="false" outlineLevel="0" collapsed="false">
      <c r="A21" s="41" t="s">
        <v>337</v>
      </c>
      <c r="B21" s="9" t="n">
        <v>0.001</v>
      </c>
      <c r="C21" s="13" t="s">
        <v>397</v>
      </c>
    </row>
    <row r="22" customFormat="false" ht="15" hidden="false" customHeight="false" outlineLevel="0" collapsed="false">
      <c r="A22" s="10" t="s">
        <v>388</v>
      </c>
      <c r="B22" s="42" t="n">
        <f aca="false">SUM(B15:B21)</f>
        <v>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20" activeCellId="0" sqref="G2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9" min="9" style="1" width="79.57"/>
    <col collapsed="false" customWidth="true" hidden="false" outlineLevel="0" max="10" min="10" style="1" width="18.22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1" t="s">
        <v>398</v>
      </c>
    </row>
    <row r="2" customFormat="false" ht="15" hidden="false" customHeight="false" outlineLevel="0" collapsed="false">
      <c r="A2" s="12" t="s">
        <v>399</v>
      </c>
    </row>
    <row r="4" customFormat="false" ht="52.2" hidden="false" customHeight="false" outlineLevel="0" collapsed="false">
      <c r="A4" s="2" t="s">
        <v>400</v>
      </c>
      <c r="B4" s="2" t="s">
        <v>401</v>
      </c>
      <c r="C4" s="2" t="s">
        <v>402</v>
      </c>
      <c r="D4" s="2" t="s">
        <v>403</v>
      </c>
      <c r="E4" s="2" t="s">
        <v>404</v>
      </c>
      <c r="F4" s="2" t="s">
        <v>405</v>
      </c>
      <c r="G4" s="2" t="s">
        <v>406</v>
      </c>
      <c r="H4" s="2" t="s">
        <v>407</v>
      </c>
      <c r="I4" s="2" t="s">
        <v>408</v>
      </c>
      <c r="J4" s="2" t="s">
        <v>409</v>
      </c>
    </row>
    <row r="5" customFormat="false" ht="23.85" hidden="false" customHeight="false" outlineLevel="0" collapsed="false">
      <c r="A5" s="45" t="s">
        <v>410</v>
      </c>
      <c r="B5" s="5" t="s">
        <v>411</v>
      </c>
      <c r="C5" s="5" t="s">
        <v>412</v>
      </c>
      <c r="D5" s="5" t="s">
        <v>411</v>
      </c>
      <c r="E5" s="5" t="s">
        <v>413</v>
      </c>
      <c r="F5" s="46" t="s">
        <v>414</v>
      </c>
      <c r="G5" s="46" t="s">
        <v>415</v>
      </c>
      <c r="H5" s="6" t="n">
        <f aca="false">0.2*Globals!$B$10</f>
        <v>0.01</v>
      </c>
      <c r="I5" s="6" t="s">
        <v>416</v>
      </c>
      <c r="J5" s="6" t="s">
        <v>417</v>
      </c>
    </row>
    <row r="6" customFormat="false" ht="15" hidden="false" customHeight="false" outlineLevel="0" collapsed="false">
      <c r="A6" s="45" t="s">
        <v>418</v>
      </c>
      <c r="B6" s="5" t="s">
        <v>44</v>
      </c>
      <c r="C6" s="5" t="s">
        <v>419</v>
      </c>
      <c r="D6" s="5" t="s">
        <v>420</v>
      </c>
      <c r="E6" s="5" t="s">
        <v>421</v>
      </c>
      <c r="F6" s="46" t="s">
        <v>422</v>
      </c>
      <c r="G6" s="46" t="s">
        <v>423</v>
      </c>
      <c r="H6" s="6" t="n">
        <f aca="false">1*Globals!$B$10</f>
        <v>0.05</v>
      </c>
      <c r="I6" s="6" t="s">
        <v>424</v>
      </c>
      <c r="J6" s="6" t="s">
        <v>417</v>
      </c>
    </row>
    <row r="7" customFormat="false" ht="46.25" hidden="false" customHeight="false" outlineLevel="0" collapsed="false">
      <c r="A7" s="45" t="s">
        <v>425</v>
      </c>
      <c r="B7" s="5" t="s">
        <v>44</v>
      </c>
      <c r="C7" s="5" t="s">
        <v>426</v>
      </c>
      <c r="D7" s="5" t="s">
        <v>427</v>
      </c>
      <c r="E7" s="5" t="s">
        <v>428</v>
      </c>
      <c r="F7" s="46" t="s">
        <v>429</v>
      </c>
      <c r="G7" s="46" t="s">
        <v>430</v>
      </c>
      <c r="H7" s="5" t="s">
        <v>431</v>
      </c>
      <c r="I7" s="47" t="s">
        <v>432</v>
      </c>
      <c r="J7" s="6" t="s">
        <v>417</v>
      </c>
    </row>
    <row r="8" customFormat="false" ht="15" hidden="false" customHeight="false" outlineLevel="0" collapsed="false">
      <c r="A8" s="45" t="s">
        <v>433</v>
      </c>
      <c r="B8" s="5" t="s">
        <v>50</v>
      </c>
      <c r="C8" s="5" t="s">
        <v>434</v>
      </c>
      <c r="D8" s="5" t="s">
        <v>435</v>
      </c>
      <c r="E8" s="5" t="s">
        <v>421</v>
      </c>
      <c r="F8" s="46" t="s">
        <v>436</v>
      </c>
      <c r="G8" s="46" t="s">
        <v>437</v>
      </c>
      <c r="H8" s="6" t="n">
        <f aca="false">1*Globals!$B$10</f>
        <v>0.05</v>
      </c>
      <c r="I8" s="6" t="s">
        <v>438</v>
      </c>
      <c r="J8" s="6" t="s">
        <v>417</v>
      </c>
    </row>
    <row r="9" customFormat="false" ht="23.85" hidden="false" customHeight="false" outlineLevel="0" collapsed="false">
      <c r="A9" s="45" t="s">
        <v>439</v>
      </c>
      <c r="B9" s="5" t="s">
        <v>50</v>
      </c>
      <c r="C9" s="5" t="s">
        <v>440</v>
      </c>
      <c r="D9" s="5" t="s">
        <v>441</v>
      </c>
      <c r="E9" s="5" t="s">
        <v>428</v>
      </c>
      <c r="F9" s="46" t="s">
        <v>442</v>
      </c>
      <c r="G9" s="46" t="s">
        <v>443</v>
      </c>
      <c r="H9" s="9" t="n">
        <f aca="false">19.8*Globals!$B$10</f>
        <v>0.99</v>
      </c>
      <c r="I9" s="9" t="s">
        <v>424</v>
      </c>
      <c r="J9" s="6" t="s">
        <v>417</v>
      </c>
    </row>
    <row r="10" customFormat="false" ht="23.85" hidden="false" customHeight="false" outlineLevel="0" collapsed="false">
      <c r="A10" s="45" t="s">
        <v>444</v>
      </c>
      <c r="B10" s="5" t="s">
        <v>56</v>
      </c>
      <c r="C10" s="5" t="s">
        <v>434</v>
      </c>
      <c r="D10" s="5" t="s">
        <v>445</v>
      </c>
      <c r="E10" s="5" t="s">
        <v>421</v>
      </c>
      <c r="F10" s="46" t="s">
        <v>436</v>
      </c>
      <c r="G10" s="46" t="s">
        <v>446</v>
      </c>
      <c r="H10" s="6" t="n">
        <f aca="false">1*Globals!$B$10</f>
        <v>0.05</v>
      </c>
      <c r="I10" s="6" t="s">
        <v>447</v>
      </c>
      <c r="J10" s="6" t="s">
        <v>417</v>
      </c>
    </row>
    <row r="11" customFormat="false" ht="15" hidden="false" customHeight="false" outlineLevel="0" collapsed="false">
      <c r="A11" s="45" t="s">
        <v>448</v>
      </c>
      <c r="B11" s="5" t="s">
        <v>56</v>
      </c>
      <c r="C11" s="5" t="s">
        <v>449</v>
      </c>
      <c r="D11" s="5" t="s">
        <v>450</v>
      </c>
      <c r="E11" s="5" t="s">
        <v>428</v>
      </c>
      <c r="F11" s="46" t="s">
        <v>431</v>
      </c>
      <c r="G11" s="46" t="s">
        <v>451</v>
      </c>
      <c r="H11" s="5" t="s">
        <v>431</v>
      </c>
      <c r="I11" s="6" t="s">
        <v>447</v>
      </c>
      <c r="J11" s="6" t="s">
        <v>417</v>
      </c>
    </row>
    <row r="12" customFormat="false" ht="15" hidden="false" customHeight="false" outlineLevel="0" collapsed="false">
      <c r="A12" s="45" t="s">
        <v>452</v>
      </c>
      <c r="B12" s="5" t="s">
        <v>68</v>
      </c>
      <c r="C12" s="5" t="s">
        <v>453</v>
      </c>
      <c r="D12" s="5" t="s">
        <v>454</v>
      </c>
      <c r="E12" s="5" t="s">
        <v>421</v>
      </c>
      <c r="F12" s="46" t="s">
        <v>455</v>
      </c>
      <c r="G12" s="46" t="s">
        <v>456</v>
      </c>
      <c r="H12" s="6" t="n">
        <f aca="false">1*Globals!$B$10</f>
        <v>0.05</v>
      </c>
      <c r="I12" s="6"/>
      <c r="J12" s="6" t="s">
        <v>417</v>
      </c>
    </row>
    <row r="13" customFormat="false" ht="15" hidden="false" customHeight="false" outlineLevel="0" collapsed="false">
      <c r="A13" s="45" t="s">
        <v>457</v>
      </c>
      <c r="B13" s="5" t="s">
        <v>68</v>
      </c>
      <c r="C13" s="5" t="s">
        <v>458</v>
      </c>
      <c r="D13" s="5" t="s">
        <v>459</v>
      </c>
      <c r="E13" s="5" t="s">
        <v>421</v>
      </c>
      <c r="F13" s="46" t="s">
        <v>460</v>
      </c>
      <c r="G13" s="46" t="s">
        <v>461</v>
      </c>
      <c r="H13" s="6" t="n">
        <f aca="false">1*Globals!$B$10</f>
        <v>0.05</v>
      </c>
      <c r="I13" s="6" t="s">
        <v>462</v>
      </c>
      <c r="J13" s="6" t="s">
        <v>417</v>
      </c>
    </row>
    <row r="14" customFormat="false" ht="35.05" hidden="false" customHeight="false" outlineLevel="0" collapsed="false">
      <c r="A14" s="45" t="s">
        <v>463</v>
      </c>
      <c r="B14" s="5" t="s">
        <v>68</v>
      </c>
      <c r="C14" s="5" t="s">
        <v>464</v>
      </c>
      <c r="D14" s="5" t="s">
        <v>465</v>
      </c>
      <c r="E14" s="5" t="s">
        <v>428</v>
      </c>
      <c r="F14" s="46" t="s">
        <v>431</v>
      </c>
      <c r="G14" s="46" t="s">
        <v>466</v>
      </c>
      <c r="H14" s="5" t="s">
        <v>431</v>
      </c>
      <c r="I14" s="6" t="s">
        <v>467</v>
      </c>
      <c r="J14" s="6" t="s">
        <v>417</v>
      </c>
    </row>
    <row r="15" customFormat="false" ht="23.85" hidden="false" customHeight="false" outlineLevel="0" collapsed="false">
      <c r="A15" s="45" t="s">
        <v>468</v>
      </c>
      <c r="B15" s="5" t="s">
        <v>62</v>
      </c>
      <c r="C15" s="5" t="s">
        <v>453</v>
      </c>
      <c r="D15" s="5" t="s">
        <v>469</v>
      </c>
      <c r="E15" s="5" t="s">
        <v>421</v>
      </c>
      <c r="F15" s="46" t="s">
        <v>436</v>
      </c>
      <c r="G15" s="46" t="s">
        <v>470</v>
      </c>
      <c r="H15" s="7" t="n">
        <f aca="false">0.001*Globals!$B$10</f>
        <v>5E-005</v>
      </c>
      <c r="I15" s="6" t="s">
        <v>471</v>
      </c>
      <c r="J15" s="6" t="s">
        <v>417</v>
      </c>
    </row>
    <row r="16" customFormat="false" ht="23.85" hidden="false" customHeight="false" outlineLevel="0" collapsed="false">
      <c r="A16" s="45" t="s">
        <v>472</v>
      </c>
      <c r="B16" s="5" t="s">
        <v>62</v>
      </c>
      <c r="C16" s="5" t="s">
        <v>473</v>
      </c>
      <c r="D16" s="5" t="s">
        <v>474</v>
      </c>
      <c r="E16" s="5" t="s">
        <v>428</v>
      </c>
      <c r="F16" s="46" t="s">
        <v>475</v>
      </c>
      <c r="G16" s="46" t="s">
        <v>476</v>
      </c>
      <c r="H16" s="6" t="s">
        <v>477</v>
      </c>
      <c r="I16" s="6" t="s">
        <v>471</v>
      </c>
      <c r="J16" s="6" t="s">
        <v>417</v>
      </c>
    </row>
    <row r="17" customFormat="false" ht="23.85" hidden="false" customHeight="false" outlineLevel="0" collapsed="false">
      <c r="A17" s="45" t="s">
        <v>478</v>
      </c>
      <c r="B17" s="5" t="s">
        <v>74</v>
      </c>
      <c r="C17" s="5" t="s">
        <v>479</v>
      </c>
      <c r="D17" s="5" t="s">
        <v>480</v>
      </c>
      <c r="E17" s="5" t="s">
        <v>421</v>
      </c>
      <c r="F17" s="46" t="s">
        <v>481</v>
      </c>
      <c r="G17" s="46" t="s">
        <v>482</v>
      </c>
      <c r="H17" s="6" t="n">
        <f aca="false">0.5*Globals!$B$10</f>
        <v>0.025</v>
      </c>
      <c r="I17" s="6" t="s">
        <v>471</v>
      </c>
      <c r="J17" s="6" t="s">
        <v>417</v>
      </c>
    </row>
    <row r="18" customFormat="false" ht="23.85" hidden="false" customHeight="false" outlineLevel="0" collapsed="false">
      <c r="A18" s="45" t="s">
        <v>483</v>
      </c>
      <c r="B18" s="5" t="s">
        <v>74</v>
      </c>
      <c r="C18" s="5" t="s">
        <v>484</v>
      </c>
      <c r="D18" s="5" t="s">
        <v>485</v>
      </c>
      <c r="E18" s="5" t="s">
        <v>428</v>
      </c>
      <c r="F18" s="46" t="s">
        <v>486</v>
      </c>
      <c r="G18" s="46" t="s">
        <v>487</v>
      </c>
      <c r="H18" s="5" t="s">
        <v>431</v>
      </c>
      <c r="I18" s="6" t="s">
        <v>488</v>
      </c>
      <c r="J18" s="6" t="s">
        <v>489</v>
      </c>
    </row>
    <row r="19" customFormat="false" ht="23.85" hidden="false" customHeight="false" outlineLevel="0" collapsed="false">
      <c r="A19" s="45" t="s">
        <v>490</v>
      </c>
      <c r="B19" s="5" t="s">
        <v>80</v>
      </c>
      <c r="C19" s="5" t="s">
        <v>458</v>
      </c>
      <c r="D19" s="5" t="s">
        <v>491</v>
      </c>
      <c r="E19" s="5" t="s">
        <v>421</v>
      </c>
      <c r="F19" s="46" t="s">
        <v>492</v>
      </c>
      <c r="G19" s="46" t="s">
        <v>493</v>
      </c>
      <c r="H19" s="6" t="n">
        <f aca="false">1*Globals!$B$10</f>
        <v>0.05</v>
      </c>
      <c r="I19" s="6"/>
      <c r="J19" s="6" t="s">
        <v>417</v>
      </c>
    </row>
    <row r="20" customFormat="false" ht="23.85" hidden="false" customHeight="false" outlineLevel="0" collapsed="false">
      <c r="A20" s="45" t="s">
        <v>494</v>
      </c>
      <c r="B20" s="5" t="s">
        <v>80</v>
      </c>
      <c r="C20" s="5" t="s">
        <v>495</v>
      </c>
      <c r="D20" s="5" t="s">
        <v>496</v>
      </c>
      <c r="E20" s="5" t="s">
        <v>428</v>
      </c>
      <c r="F20" s="46" t="s">
        <v>442</v>
      </c>
      <c r="G20" s="46" t="s">
        <v>497</v>
      </c>
      <c r="H20" s="5" t="s">
        <v>431</v>
      </c>
      <c r="I20" s="6" t="s">
        <v>447</v>
      </c>
      <c r="J20" s="6" t="s">
        <v>417</v>
      </c>
    </row>
    <row r="21" customFormat="false" ht="23.85" hidden="false" customHeight="false" outlineLevel="0" collapsed="false">
      <c r="A21" s="45" t="s">
        <v>498</v>
      </c>
      <c r="B21" s="5" t="s">
        <v>86</v>
      </c>
      <c r="C21" s="5" t="s">
        <v>419</v>
      </c>
      <c r="D21" s="5" t="s">
        <v>499</v>
      </c>
      <c r="E21" s="5" t="s">
        <v>421</v>
      </c>
      <c r="F21" s="46" t="s">
        <v>500</v>
      </c>
      <c r="G21" s="46" t="s">
        <v>501</v>
      </c>
      <c r="H21" s="7" t="n">
        <f aca="false">0.001*Globals!$B$10</f>
        <v>5E-005</v>
      </c>
      <c r="I21" s="6"/>
      <c r="J21" s="6" t="s">
        <v>417</v>
      </c>
    </row>
    <row r="22" customFormat="false" ht="23.85" hidden="false" customHeight="false" outlineLevel="0" collapsed="false">
      <c r="A22" s="45" t="s">
        <v>502</v>
      </c>
      <c r="B22" s="5" t="s">
        <v>86</v>
      </c>
      <c r="C22" s="5" t="s">
        <v>440</v>
      </c>
      <c r="D22" s="5" t="s">
        <v>503</v>
      </c>
      <c r="E22" s="5" t="s">
        <v>428</v>
      </c>
      <c r="F22" s="46" t="s">
        <v>504</v>
      </c>
      <c r="G22" s="46" t="s">
        <v>505</v>
      </c>
      <c r="H22" s="5" t="s">
        <v>431</v>
      </c>
      <c r="I22" s="6"/>
      <c r="J22" s="6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8" activeCellId="0" sqref="C8"/>
    </sheetView>
  </sheetViews>
  <sheetFormatPr defaultColWidth="8.6796875" defaultRowHeight="13.8" zeroHeight="false" outlineLevelRow="0" outlineLevelCol="0"/>
  <cols>
    <col collapsed="false" customWidth="true" hidden="false" outlineLevel="0" max="1" min="1" style="1" width="26.26"/>
    <col collapsed="false" customWidth="true" hidden="false" outlineLevel="0" max="2" min="2" style="1" width="29.64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5"/>
    <col collapsed="false" customWidth="true" hidden="false" outlineLevel="0" max="8" min="8" style="1" width="16"/>
    <col collapsed="false" customWidth="true" hidden="false" outlineLevel="0" max="16384" min="16383" style="1" width="11.53"/>
  </cols>
  <sheetData>
    <row r="1" customFormat="false" ht="19.7" hidden="false" customHeight="false" outlineLevel="0" collapsed="false">
      <c r="A1" s="11" t="s">
        <v>506</v>
      </c>
    </row>
    <row r="2" customFormat="false" ht="13.8" hidden="false" customHeight="false" outlineLevel="0" collapsed="false">
      <c r="A2" s="12" t="s">
        <v>507</v>
      </c>
    </row>
    <row r="4" customFormat="false" ht="26.85" hidden="false" customHeight="false" outlineLevel="0" collapsed="false">
      <c r="A4" s="2" t="s">
        <v>508</v>
      </c>
      <c r="B4" s="2" t="s">
        <v>509</v>
      </c>
      <c r="C4" s="2" t="s">
        <v>510</v>
      </c>
      <c r="D4" s="2" t="s">
        <v>511</v>
      </c>
      <c r="E4" s="2" t="s">
        <v>512</v>
      </c>
      <c r="F4" s="2" t="s">
        <v>513</v>
      </c>
    </row>
    <row r="5" customFormat="false" ht="13.8" hidden="false" customHeight="false" outlineLevel="0" collapsed="false">
      <c r="A5" s="3" t="s">
        <v>514</v>
      </c>
      <c r="B5" s="3"/>
      <c r="C5" s="5"/>
      <c r="D5" s="5"/>
      <c r="E5" s="15"/>
      <c r="F5" s="15"/>
    </row>
    <row r="6" customFormat="false" ht="13.8" hidden="false" customHeight="false" outlineLevel="0" collapsed="false">
      <c r="A6" s="3" t="s">
        <v>515</v>
      </c>
      <c r="B6" s="3"/>
      <c r="C6" s="5" t="n">
        <v>25000</v>
      </c>
      <c r="D6" s="5" t="n">
        <v>1800</v>
      </c>
      <c r="E6" s="15" t="n">
        <v>22</v>
      </c>
      <c r="F6" s="15" t="n">
        <v>0.1</v>
      </c>
    </row>
    <row r="7" customFormat="false" ht="13.8" hidden="false" customHeight="false" outlineLevel="0" collapsed="false">
      <c r="A7" s="3" t="s">
        <v>516</v>
      </c>
      <c r="B7" s="3"/>
      <c r="C7" s="5"/>
      <c r="D7" s="5"/>
      <c r="E7" s="15"/>
      <c r="F7" s="15"/>
    </row>
    <row r="8" customFormat="false" ht="13.8" hidden="false" customHeight="false" outlineLevel="0" collapsed="false">
      <c r="A8" s="3" t="s">
        <v>517</v>
      </c>
      <c r="B8" s="3"/>
      <c r="C8" s="5"/>
      <c r="D8" s="5"/>
      <c r="E8" s="15"/>
      <c r="F8" s="15"/>
    </row>
    <row r="9" customFormat="false" ht="13.8" hidden="false" customHeight="false" outlineLevel="0" collapsed="false">
      <c r="A9" s="3" t="s">
        <v>518</v>
      </c>
      <c r="B9" s="3"/>
      <c r="C9" s="5"/>
      <c r="D9" s="5"/>
      <c r="E9" s="15"/>
      <c r="F9" s="15"/>
    </row>
    <row r="10" customFormat="false" ht="13.8" hidden="false" customHeight="false" outlineLevel="0" collapsed="false">
      <c r="B10" s="3"/>
      <c r="C10" s="5"/>
      <c r="D10" s="5"/>
      <c r="E10" s="15"/>
      <c r="F10" s="15"/>
    </row>
    <row r="11" customFormat="false" ht="13.8" hidden="false" customHeight="false" outlineLevel="0" collapsed="false">
      <c r="A11" s="3" t="s">
        <v>519</v>
      </c>
      <c r="B11" s="3"/>
      <c r="C11" s="5"/>
      <c r="D11" s="5"/>
      <c r="E11" s="15"/>
      <c r="F11" s="15"/>
    </row>
    <row r="12" customFormat="false" ht="13.8" hidden="false" customHeight="false" outlineLevel="0" collapsed="false">
      <c r="A12" s="3" t="s">
        <v>520</v>
      </c>
      <c r="B12" s="3"/>
      <c r="C12" s="5"/>
      <c r="D12" s="5"/>
      <c r="E12" s="15"/>
      <c r="F12" s="15"/>
    </row>
    <row r="13" customFormat="false" ht="13.8" hidden="false" customHeight="false" outlineLevel="0" collapsed="false">
      <c r="A13" s="3" t="s">
        <v>521</v>
      </c>
      <c r="B13" s="3"/>
      <c r="C13" s="5"/>
      <c r="D13" s="5"/>
      <c r="E13" s="15"/>
      <c r="F13" s="15"/>
    </row>
    <row r="14" customFormat="false" ht="13.8" hidden="false" customHeight="false" outlineLevel="0" collapsed="false">
      <c r="A14" s="3" t="s">
        <v>522</v>
      </c>
      <c r="B14" s="3"/>
      <c r="C14" s="5"/>
      <c r="D14" s="5"/>
      <c r="E14" s="15"/>
      <c r="F14" s="15"/>
    </row>
    <row r="15" customFormat="false" ht="13.8" hidden="false" customHeight="false" outlineLevel="0" collapsed="false">
      <c r="A15" s="3" t="s">
        <v>523</v>
      </c>
      <c r="B15" s="3"/>
      <c r="C15" s="5"/>
      <c r="D15" s="5"/>
      <c r="E15" s="15"/>
      <c r="F15" s="15"/>
    </row>
    <row r="16" customFormat="false" ht="13.8" hidden="false" customHeight="false" outlineLevel="0" collapsed="false">
      <c r="A16" s="3" t="s">
        <v>524</v>
      </c>
      <c r="B16" s="3"/>
      <c r="C16" s="5"/>
      <c r="D16" s="5"/>
      <c r="E16" s="15"/>
      <c r="F16" s="15"/>
    </row>
    <row r="17" customFormat="false" ht="13.8" hidden="false" customHeight="false" outlineLevel="0" collapsed="false">
      <c r="A17" s="3" t="s">
        <v>525</v>
      </c>
      <c r="B17" s="3"/>
      <c r="C17" s="5"/>
      <c r="D17" s="5"/>
      <c r="E17" s="15"/>
      <c r="F17" s="15"/>
    </row>
    <row r="18" customFormat="false" ht="13.8" hidden="false" customHeight="false" outlineLevel="0" collapsed="false">
      <c r="A18" s="3"/>
      <c r="B18" s="3"/>
      <c r="C18" s="5"/>
      <c r="D18" s="5"/>
      <c r="E18" s="15"/>
      <c r="F18" s="15"/>
    </row>
    <row r="19" customFormat="false" ht="13.8" hidden="false" customHeight="false" outlineLevel="0" collapsed="false">
      <c r="A19" s="3"/>
      <c r="B19" s="3"/>
      <c r="C19" s="5"/>
      <c r="D19" s="5"/>
      <c r="E19" s="15"/>
      <c r="F19" s="15"/>
    </row>
    <row r="20" customFormat="false" ht="13.8" hidden="false" customHeight="false" outlineLevel="0" collapsed="false">
      <c r="A20" s="3"/>
      <c r="B20" s="3"/>
      <c r="C20" s="5"/>
      <c r="D20" s="5"/>
      <c r="E20" s="15"/>
      <c r="F20" s="15"/>
    </row>
    <row r="21" customFormat="false" ht="13.8" hidden="false" customHeight="false" outlineLevel="0" collapsed="false">
      <c r="A21" s="3" t="s">
        <v>526</v>
      </c>
      <c r="B21" s="3"/>
      <c r="C21" s="5"/>
      <c r="D21" s="5"/>
      <c r="E21" s="15"/>
      <c r="F21" s="15"/>
    </row>
    <row r="22" customFormat="false" ht="13.8" hidden="false" customHeight="false" outlineLevel="0" collapsed="false">
      <c r="A22" s="3" t="s">
        <v>527</v>
      </c>
      <c r="B22" s="3"/>
      <c r="C22" s="5"/>
      <c r="D22" s="5"/>
      <c r="E22" s="15"/>
      <c r="F22" s="15"/>
    </row>
    <row r="23" customFormat="false" ht="13.8" hidden="false" customHeight="false" outlineLevel="0" collapsed="false">
      <c r="A23" s="3" t="s">
        <v>528</v>
      </c>
      <c r="B23" s="3"/>
      <c r="C23" s="5"/>
      <c r="D23" s="5"/>
      <c r="E23" s="15"/>
      <c r="F23" s="15"/>
    </row>
    <row r="24" customFormat="false" ht="13.8" hidden="false" customHeight="false" outlineLevel="0" collapsed="false">
      <c r="A24" s="3" t="s">
        <v>529</v>
      </c>
      <c r="B24" s="3"/>
      <c r="C24" s="5"/>
      <c r="D24" s="5"/>
      <c r="E24" s="15"/>
      <c r="F24" s="15"/>
    </row>
    <row r="25" customFormat="false" ht="13.8" hidden="false" customHeight="false" outlineLevel="0" collapsed="false">
      <c r="B25" s="3"/>
      <c r="C25" s="5"/>
      <c r="D25" s="5"/>
      <c r="E25" s="15"/>
      <c r="F25" s="15"/>
    </row>
    <row r="26" customFormat="false" ht="13.8" hidden="false" customHeight="false" outlineLevel="0" collapsed="false">
      <c r="A26" s="3"/>
      <c r="B26" s="3"/>
      <c r="C26" s="5"/>
      <c r="D26" s="5"/>
      <c r="E26" s="15"/>
      <c r="F26" s="15"/>
    </row>
    <row r="27" customFormat="false" ht="13.8" hidden="false" customHeight="false" outlineLevel="0" collapsed="false">
      <c r="A27" s="3" t="s">
        <v>530</v>
      </c>
      <c r="B27" s="3"/>
      <c r="C27" s="5"/>
      <c r="D27" s="5"/>
      <c r="E27" s="15"/>
      <c r="F27" s="15"/>
    </row>
    <row r="28" customFormat="false" ht="13.8" hidden="false" customHeight="false" outlineLevel="0" collapsed="false">
      <c r="A28" s="3" t="s">
        <v>531</v>
      </c>
      <c r="B28" s="3"/>
      <c r="C28" s="5"/>
      <c r="D28" s="5"/>
      <c r="E28" s="15"/>
      <c r="F28" s="15"/>
    </row>
    <row r="29" customFormat="false" ht="13.8" hidden="false" customHeight="false" outlineLevel="0" collapsed="false">
      <c r="A29" s="3"/>
      <c r="B29" s="3"/>
      <c r="C29" s="5"/>
      <c r="D29" s="5"/>
      <c r="E29" s="15"/>
      <c r="F29" s="15"/>
    </row>
    <row r="30" customFormat="false" ht="13.8" hidden="false" customHeight="false" outlineLevel="0" collapsed="false">
      <c r="A30" s="3"/>
      <c r="B30" s="3"/>
      <c r="C30" s="5"/>
      <c r="D30" s="5"/>
      <c r="E30" s="15"/>
      <c r="F30" s="15"/>
    </row>
    <row r="31" customFormat="false" ht="13.8" hidden="false" customHeight="false" outlineLevel="0" collapsed="false">
      <c r="A31" s="3" t="s">
        <v>532</v>
      </c>
      <c r="B31" s="3"/>
      <c r="C31" s="5"/>
      <c r="D31" s="5"/>
      <c r="E31" s="15"/>
      <c r="F31" s="15"/>
    </row>
    <row r="32" customFormat="false" ht="13.8" hidden="false" customHeight="false" outlineLevel="0" collapsed="false">
      <c r="A32" s="3" t="s">
        <v>533</v>
      </c>
      <c r="B32" s="3"/>
      <c r="C32" s="5"/>
      <c r="D32" s="5"/>
      <c r="E32" s="15"/>
      <c r="F32" s="15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3" activeCellId="0" sqref="C13"/>
    </sheetView>
  </sheetViews>
  <sheetFormatPr defaultColWidth="8.6796875" defaultRowHeight="13.8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2.95"/>
    <col collapsed="false" customWidth="true" hidden="false" outlineLevel="0" max="5" min="5" style="1" width="30.74"/>
    <col collapsed="false" customWidth="true" hidden="false" outlineLevel="0" max="6" min="6" style="1" width="41.18"/>
    <col collapsed="false" customWidth="true" hidden="false" outlineLevel="0" max="7" min="7" style="1" width="28.66"/>
    <col collapsed="false" customWidth="true" hidden="false" outlineLevel="0" max="8" min="8" style="1" width="40"/>
    <col collapsed="false" customWidth="true" hidden="false" outlineLevel="0" max="16384" min="16383" style="1" width="11.53"/>
  </cols>
  <sheetData>
    <row r="1" customFormat="false" ht="19.7" hidden="false" customHeight="false" outlineLevel="0" collapsed="false">
      <c r="A1" s="11" t="s">
        <v>534</v>
      </c>
    </row>
    <row r="2" customFormat="false" ht="13.8" hidden="false" customHeight="false" outlineLevel="0" collapsed="false">
      <c r="A2" s="12" t="s">
        <v>535</v>
      </c>
    </row>
    <row r="4" customFormat="false" ht="26.85" hidden="false" customHeight="false" outlineLevel="0" collapsed="false">
      <c r="A4" s="2" t="s">
        <v>536</v>
      </c>
      <c r="B4" s="2" t="s">
        <v>537</v>
      </c>
      <c r="C4" s="2" t="s">
        <v>538</v>
      </c>
      <c r="D4" s="2" t="s">
        <v>539</v>
      </c>
      <c r="E4" s="2" t="s">
        <v>540</v>
      </c>
      <c r="F4" s="2" t="s">
        <v>541</v>
      </c>
      <c r="G4" s="2" t="s">
        <v>542</v>
      </c>
      <c r="H4" s="2" t="s">
        <v>324</v>
      </c>
    </row>
    <row r="5" customFormat="false" ht="13.8" hidden="false" customHeight="false" outlineLevel="0" collapsed="false">
      <c r="A5" s="48" t="s">
        <v>543</v>
      </c>
      <c r="B5" s="3" t="s">
        <v>544</v>
      </c>
      <c r="C5" s="5" t="n">
        <v>1</v>
      </c>
      <c r="D5" s="15" t="n">
        <f aca="false">1*Globals!$B$17</f>
        <v>100</v>
      </c>
      <c r="E5" s="15" t="n">
        <f aca="false">2.5*Globals!$B$18</f>
        <v>25</v>
      </c>
      <c r="F5" s="15" t="n">
        <f aca="false">2*Globals!$B$19</f>
        <v>200</v>
      </c>
      <c r="G5" s="15" t="n">
        <f aca="false">0*Globals!$B$20</f>
        <v>0</v>
      </c>
      <c r="H5" s="46" t="s">
        <v>431</v>
      </c>
    </row>
    <row r="6" customFormat="false" ht="13.8" hidden="false" customHeight="false" outlineLevel="0" collapsed="false">
      <c r="A6" s="48" t="s">
        <v>545</v>
      </c>
      <c r="B6" s="3" t="s">
        <v>546</v>
      </c>
      <c r="C6" s="5" t="n">
        <v>1</v>
      </c>
      <c r="D6" s="15" t="n">
        <f aca="false">2.5*Globals!$B$17</f>
        <v>250</v>
      </c>
      <c r="E6" s="15" t="n">
        <f aca="false">0*Globals!$B$18</f>
        <v>0</v>
      </c>
      <c r="F6" s="15" t="n">
        <f aca="false">0*Globals!$B$19</f>
        <v>0</v>
      </c>
      <c r="G6" s="15" t="n">
        <f aca="false">2*Globals!$B$20</f>
        <v>20</v>
      </c>
      <c r="H6" s="46" t="s">
        <v>431</v>
      </c>
    </row>
    <row r="7" customFormat="false" ht="23.85" hidden="false" customHeight="false" outlineLevel="0" collapsed="false">
      <c r="A7" s="48" t="s">
        <v>547</v>
      </c>
      <c r="B7" s="3" t="s">
        <v>548</v>
      </c>
      <c r="C7" s="5" t="n">
        <v>1</v>
      </c>
      <c r="D7" s="15" t="n">
        <f aca="false">1*Globals!$B$17</f>
        <v>100</v>
      </c>
      <c r="E7" s="15" t="n">
        <f aca="false">1*Globals!$B$18</f>
        <v>10</v>
      </c>
      <c r="F7" s="15" t="n">
        <f aca="false">0*Globals!$B$19</f>
        <v>0</v>
      </c>
      <c r="G7" s="15" t="n">
        <f aca="false">0*Globals!$B$20</f>
        <v>0</v>
      </c>
      <c r="H7" s="46" t="s">
        <v>549</v>
      </c>
    </row>
    <row r="8" customFormat="false" ht="23.85" hidden="false" customHeight="false" outlineLevel="0" collapsed="false">
      <c r="A8" s="48" t="s">
        <v>550</v>
      </c>
      <c r="B8" s="3" t="s">
        <v>551</v>
      </c>
      <c r="C8" s="5" t="n">
        <v>1</v>
      </c>
      <c r="D8" s="15" t="n">
        <f aca="false">0*Globals!$B$17</f>
        <v>0</v>
      </c>
      <c r="E8" s="15" t="n">
        <f aca="false">0*Globals!$B$18</f>
        <v>0</v>
      </c>
      <c r="F8" s="15" t="n">
        <f aca="false">0*Globals!$B$19</f>
        <v>0</v>
      </c>
      <c r="G8" s="15" t="n">
        <f aca="false">0*Globals!$B$20</f>
        <v>0</v>
      </c>
      <c r="H8" s="46" t="s">
        <v>552</v>
      </c>
    </row>
    <row r="9" customFormat="false" ht="13.8" hidden="false" customHeight="false" outlineLevel="0" collapsed="false">
      <c r="A9" s="48" t="s">
        <v>553</v>
      </c>
      <c r="B9" s="3" t="s">
        <v>554</v>
      </c>
      <c r="C9" s="5" t="n">
        <v>1</v>
      </c>
      <c r="D9" s="15" t="n">
        <f aca="false">0*Globals!$B$17</f>
        <v>0</v>
      </c>
      <c r="E9" s="15" t="n">
        <f aca="false">2.5*Globals!$B$18</f>
        <v>25</v>
      </c>
      <c r="F9" s="15" t="n">
        <f aca="false">0*Globals!$B$19</f>
        <v>0</v>
      </c>
      <c r="G9" s="15" t="n">
        <f aca="false">0*Globals!$B$20</f>
        <v>0</v>
      </c>
      <c r="H9" s="46" t="s">
        <v>555</v>
      </c>
    </row>
    <row r="10" customFormat="false" ht="13.8" hidden="false" customHeight="false" outlineLevel="0" collapsed="false">
      <c r="A10" s="48" t="s">
        <v>556</v>
      </c>
      <c r="B10" s="3" t="s">
        <v>557</v>
      </c>
      <c r="C10" s="5" t="n">
        <v>1</v>
      </c>
      <c r="D10" s="15" t="n">
        <f aca="false">1*Globals!$B$17</f>
        <v>100</v>
      </c>
      <c r="E10" s="15" t="n">
        <f aca="false">1*Globals!$B$18</f>
        <v>10</v>
      </c>
      <c r="F10" s="15" t="n">
        <f aca="false">0*Globals!$B$19</f>
        <v>0</v>
      </c>
      <c r="G10" s="15" t="n">
        <f aca="false">0*Globals!$B$20</f>
        <v>0</v>
      </c>
      <c r="H10" s="46" t="s">
        <v>558</v>
      </c>
    </row>
    <row r="11" customFormat="false" ht="13.8" hidden="false" customHeight="false" outlineLevel="0" collapsed="false">
      <c r="A11" s="49" t="s">
        <v>559</v>
      </c>
      <c r="B11" s="3" t="s">
        <v>560</v>
      </c>
      <c r="C11" s="5" t="n">
        <v>2</v>
      </c>
      <c r="D11" s="15" t="s">
        <v>561</v>
      </c>
      <c r="E11" s="15" t="n">
        <v>0</v>
      </c>
      <c r="F11" s="15" t="n">
        <v>0</v>
      </c>
      <c r="G11" s="15" t="s">
        <v>562</v>
      </c>
      <c r="H11" s="46" t="s">
        <v>431</v>
      </c>
    </row>
    <row r="12" customFormat="false" ht="13.8" hidden="false" customHeight="false" outlineLevel="0" collapsed="false">
      <c r="A12" s="49" t="s">
        <v>563</v>
      </c>
      <c r="B12" s="3" t="s">
        <v>564</v>
      </c>
      <c r="C12" s="5" t="n">
        <v>2</v>
      </c>
      <c r="D12" s="15" t="n">
        <v>0</v>
      </c>
      <c r="E12" s="15" t="s">
        <v>565</v>
      </c>
      <c r="F12" s="15" t="s">
        <v>566</v>
      </c>
      <c r="G12" s="15" t="n">
        <v>0</v>
      </c>
      <c r="H12" s="46" t="s">
        <v>431</v>
      </c>
    </row>
    <row r="13" customFormat="false" ht="35.05" hidden="false" customHeight="false" outlineLevel="0" collapsed="false">
      <c r="A13" s="50" t="s">
        <v>567</v>
      </c>
      <c r="B13" s="3" t="s">
        <v>568</v>
      </c>
      <c r="C13" s="5" t="n">
        <v>3</v>
      </c>
      <c r="D13" s="15" t="s">
        <v>569</v>
      </c>
      <c r="E13" s="15" t="s">
        <v>570</v>
      </c>
      <c r="F13" s="15" t="n">
        <f aca="false">0*Globals!$B$19</f>
        <v>0</v>
      </c>
      <c r="G13" s="15" t="n">
        <f aca="false">0*Globals!$B$20</f>
        <v>0</v>
      </c>
      <c r="H13" s="46" t="s">
        <v>571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26" activeCellId="0" sqref="F2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1" t="s">
        <v>572</v>
      </c>
    </row>
    <row r="2" customFormat="false" ht="15" hidden="false" customHeight="false" outlineLevel="0" collapsed="false">
      <c r="A2" s="12" t="s">
        <v>573</v>
      </c>
    </row>
    <row r="4" customFormat="false" ht="39.55" hidden="false" customHeight="false" outlineLevel="0" collapsed="false">
      <c r="A4" s="2" t="s">
        <v>574</v>
      </c>
      <c r="B4" s="2" t="s">
        <v>404</v>
      </c>
      <c r="C4" s="2" t="s">
        <v>575</v>
      </c>
      <c r="D4" s="2" t="s">
        <v>576</v>
      </c>
      <c r="E4" s="2" t="s">
        <v>577</v>
      </c>
      <c r="F4" s="2" t="s">
        <v>324</v>
      </c>
      <c r="G4" s="2" t="s">
        <v>578</v>
      </c>
    </row>
    <row r="5" customFormat="false" ht="15" hidden="false" customHeight="false" outlineLevel="0" collapsed="false">
      <c r="A5" s="10" t="s">
        <v>579</v>
      </c>
      <c r="B5" s="13" t="s">
        <v>580</v>
      </c>
      <c r="C5" s="5" t="s">
        <v>581</v>
      </c>
      <c r="D5" s="5" t="n">
        <v>0</v>
      </c>
      <c r="E5" s="5" t="n">
        <v>1</v>
      </c>
      <c r="F5" s="13" t="s">
        <v>582</v>
      </c>
      <c r="G5" s="15" t="s">
        <v>583</v>
      </c>
    </row>
    <row r="6" customFormat="false" ht="15" hidden="false" customHeight="false" outlineLevel="0" collapsed="false">
      <c r="A6" s="10" t="s">
        <v>584</v>
      </c>
      <c r="B6" s="13" t="s">
        <v>580</v>
      </c>
      <c r="C6" s="5" t="s">
        <v>581</v>
      </c>
      <c r="D6" s="5" t="n">
        <v>0</v>
      </c>
      <c r="E6" s="5" t="n">
        <v>1</v>
      </c>
      <c r="F6" s="13" t="s">
        <v>585</v>
      </c>
      <c r="G6" s="15" t="s">
        <v>583</v>
      </c>
    </row>
    <row r="7" customFormat="false" ht="15" hidden="false" customHeight="false" outlineLevel="0" collapsed="false">
      <c r="A7" s="10" t="s">
        <v>586</v>
      </c>
      <c r="B7" s="13" t="s">
        <v>580</v>
      </c>
      <c r="C7" s="5" t="s">
        <v>581</v>
      </c>
      <c r="D7" s="5" t="n">
        <v>0</v>
      </c>
      <c r="E7" s="5" t="n">
        <v>1</v>
      </c>
      <c r="F7" s="13" t="s">
        <v>587</v>
      </c>
      <c r="G7" s="15" t="s">
        <v>583</v>
      </c>
    </row>
    <row r="8" customFormat="false" ht="15" hidden="false" customHeight="false" outlineLevel="0" collapsed="false">
      <c r="A8" s="10" t="s">
        <v>588</v>
      </c>
      <c r="B8" s="13" t="s">
        <v>580</v>
      </c>
      <c r="C8" s="5" t="s">
        <v>581</v>
      </c>
      <c r="D8" s="5" t="n">
        <v>0</v>
      </c>
      <c r="E8" s="5" t="n">
        <v>1</v>
      </c>
      <c r="F8" s="13" t="s">
        <v>589</v>
      </c>
      <c r="G8" s="15" t="s">
        <v>583</v>
      </c>
    </row>
    <row r="9" customFormat="false" ht="15" hidden="false" customHeight="false" outlineLevel="0" collapsed="false">
      <c r="A9" s="10" t="s">
        <v>590</v>
      </c>
      <c r="B9" s="13" t="s">
        <v>580</v>
      </c>
      <c r="C9" s="5" t="s">
        <v>581</v>
      </c>
      <c r="D9" s="5" t="n">
        <v>0</v>
      </c>
      <c r="E9" s="5" t="n">
        <v>1</v>
      </c>
      <c r="F9" s="13" t="s">
        <v>591</v>
      </c>
      <c r="G9" s="15" t="s">
        <v>583</v>
      </c>
    </row>
    <row r="10" customFormat="false" ht="15" hidden="false" customHeight="false" outlineLevel="0" collapsed="false">
      <c r="A10" s="10" t="s">
        <v>592</v>
      </c>
      <c r="B10" s="13" t="s">
        <v>593</v>
      </c>
      <c r="C10" s="5" t="s">
        <v>594</v>
      </c>
      <c r="D10" s="5" t="n">
        <v>1</v>
      </c>
      <c r="E10" s="5" t="n">
        <v>1</v>
      </c>
      <c r="F10" s="13" t="s">
        <v>595</v>
      </c>
      <c r="G10" s="15" t="s">
        <v>596</v>
      </c>
    </row>
    <row r="11" customFormat="false" ht="15" hidden="false" customHeight="false" outlineLevel="0" collapsed="false">
      <c r="A11" s="10" t="s">
        <v>597</v>
      </c>
      <c r="B11" s="13" t="s">
        <v>593</v>
      </c>
      <c r="C11" s="5" t="s">
        <v>594</v>
      </c>
      <c r="D11" s="5" t="n">
        <v>2</v>
      </c>
      <c r="E11" s="5" t="n">
        <v>1</v>
      </c>
      <c r="F11" s="13" t="s">
        <v>598</v>
      </c>
      <c r="G11" s="15" t="s">
        <v>596</v>
      </c>
    </row>
    <row r="12" customFormat="false" ht="15" hidden="false" customHeight="false" outlineLevel="0" collapsed="false">
      <c r="A12" s="10" t="s">
        <v>599</v>
      </c>
      <c r="B12" s="13" t="s">
        <v>600</v>
      </c>
      <c r="C12" s="5" t="s">
        <v>594</v>
      </c>
      <c r="D12" s="5" t="n">
        <v>0</v>
      </c>
      <c r="E12" s="5" t="n">
        <v>5</v>
      </c>
      <c r="F12" s="13" t="s">
        <v>601</v>
      </c>
      <c r="G12" s="15" t="s">
        <v>583</v>
      </c>
    </row>
    <row r="13" customFormat="false" ht="15" hidden="false" customHeight="false" outlineLevel="0" collapsed="false">
      <c r="A13" s="10" t="s">
        <v>602</v>
      </c>
      <c r="B13" s="13" t="s">
        <v>603</v>
      </c>
      <c r="C13" s="5" t="s">
        <v>594</v>
      </c>
      <c r="D13" s="5" t="n">
        <v>1</v>
      </c>
      <c r="E13" s="5" t="n">
        <v>1</v>
      </c>
      <c r="F13" s="13" t="s">
        <v>604</v>
      </c>
      <c r="G13" s="15" t="s">
        <v>596</v>
      </c>
    </row>
    <row r="14" customFormat="false" ht="15" hidden="false" customHeight="false" outlineLevel="0" collapsed="false">
      <c r="A14" s="10" t="s">
        <v>605</v>
      </c>
      <c r="B14" s="13" t="s">
        <v>603</v>
      </c>
      <c r="C14" s="5" t="s">
        <v>594</v>
      </c>
      <c r="D14" s="5" t="n">
        <v>1</v>
      </c>
      <c r="E14" s="5" t="n">
        <v>1</v>
      </c>
      <c r="F14" s="13" t="s">
        <v>606</v>
      </c>
      <c r="G14" s="15" t="s">
        <v>596</v>
      </c>
    </row>
    <row r="15" customFormat="false" ht="15" hidden="false" customHeight="false" outlineLevel="0" collapsed="false">
      <c r="A15" s="10" t="s">
        <v>607</v>
      </c>
      <c r="B15" s="13" t="s">
        <v>608</v>
      </c>
      <c r="C15" s="5" t="s">
        <v>594</v>
      </c>
      <c r="D15" s="5" t="n">
        <v>1</v>
      </c>
      <c r="E15" s="5" t="s">
        <v>609</v>
      </c>
      <c r="F15" s="13" t="s">
        <v>595</v>
      </c>
      <c r="G15" s="15" t="s">
        <v>596</v>
      </c>
    </row>
    <row r="16" customFormat="false" ht="15" hidden="false" customHeight="false" outlineLevel="0" collapsed="false">
      <c r="A16" s="10" t="s">
        <v>610</v>
      </c>
      <c r="B16" s="13" t="s">
        <v>608</v>
      </c>
      <c r="C16" s="5" t="s">
        <v>594</v>
      </c>
      <c r="D16" s="5" t="n">
        <v>1</v>
      </c>
      <c r="E16" s="5" t="s">
        <v>609</v>
      </c>
      <c r="F16" s="13" t="s">
        <v>611</v>
      </c>
      <c r="G16" s="15" t="s">
        <v>596</v>
      </c>
    </row>
    <row r="17" customFormat="false" ht="15" hidden="false" customHeight="false" outlineLevel="0" collapsed="false">
      <c r="A17" s="10" t="s">
        <v>612</v>
      </c>
      <c r="B17" s="13" t="s">
        <v>593</v>
      </c>
      <c r="C17" s="5" t="s">
        <v>594</v>
      </c>
      <c r="D17" s="5" t="n">
        <v>2</v>
      </c>
      <c r="E17" s="5" t="n">
        <v>1</v>
      </c>
      <c r="F17" s="13" t="s">
        <v>598</v>
      </c>
      <c r="G17" s="15" t="s">
        <v>596</v>
      </c>
    </row>
    <row r="18" customFormat="false" ht="15" hidden="false" customHeight="false" outlineLevel="0" collapsed="false">
      <c r="A18" s="10" t="s">
        <v>613</v>
      </c>
      <c r="B18" s="13" t="s">
        <v>603</v>
      </c>
      <c r="C18" s="5" t="s">
        <v>594</v>
      </c>
      <c r="D18" s="5" t="n">
        <v>1</v>
      </c>
      <c r="E18" s="5" t="n">
        <v>1</v>
      </c>
      <c r="F18" s="13" t="s">
        <v>614</v>
      </c>
      <c r="G18" s="15" t="s">
        <v>596</v>
      </c>
    </row>
    <row r="19" customFormat="false" ht="15" hidden="false" customHeight="false" outlineLevel="0" collapsed="false">
      <c r="A19" s="10" t="s">
        <v>615</v>
      </c>
      <c r="B19" s="13" t="s">
        <v>593</v>
      </c>
      <c r="C19" s="5" t="s">
        <v>594</v>
      </c>
      <c r="D19" s="5" t="n">
        <v>2</v>
      </c>
      <c r="E19" s="5" t="n">
        <v>1</v>
      </c>
      <c r="F19" s="13" t="s">
        <v>598</v>
      </c>
      <c r="G19" s="15" t="s">
        <v>596</v>
      </c>
    </row>
    <row r="20" customFormat="false" ht="15" hidden="false" customHeight="false" outlineLevel="0" collapsed="false">
      <c r="A20" s="10" t="s">
        <v>616</v>
      </c>
      <c r="B20" s="13" t="s">
        <v>603</v>
      </c>
      <c r="C20" s="5" t="s">
        <v>594</v>
      </c>
      <c r="D20" s="5" t="n">
        <v>1</v>
      </c>
      <c r="E20" s="5" t="n">
        <v>1</v>
      </c>
      <c r="F20" s="13" t="s">
        <v>617</v>
      </c>
      <c r="G20" s="15" t="s">
        <v>596</v>
      </c>
    </row>
    <row r="21" customFormat="false" ht="15" hidden="false" customHeight="false" outlineLevel="0" collapsed="false">
      <c r="A21" s="10" t="s">
        <v>618</v>
      </c>
      <c r="B21" s="13" t="s">
        <v>619</v>
      </c>
      <c r="C21" s="5" t="s">
        <v>620</v>
      </c>
      <c r="D21" s="5" t="n">
        <v>6</v>
      </c>
      <c r="E21" s="5" t="n">
        <v>1</v>
      </c>
      <c r="F21" s="13" t="s">
        <v>621</v>
      </c>
      <c r="G21" s="15" t="s">
        <v>583</v>
      </c>
    </row>
    <row r="22" customFormat="false" ht="15" hidden="false" customHeight="false" outlineLevel="0" collapsed="false">
      <c r="A22" s="10" t="s">
        <v>622</v>
      </c>
      <c r="B22" s="13" t="s">
        <v>603</v>
      </c>
      <c r="C22" s="5" t="s">
        <v>620</v>
      </c>
      <c r="D22" s="5" t="n">
        <v>8</v>
      </c>
      <c r="E22" s="5" t="n">
        <v>1</v>
      </c>
      <c r="F22" s="13" t="s">
        <v>623</v>
      </c>
      <c r="G22" s="15" t="s">
        <v>596</v>
      </c>
    </row>
    <row r="23" customFormat="false" ht="15" hidden="false" customHeight="false" outlineLevel="0" collapsed="false">
      <c r="A23" s="10" t="s">
        <v>624</v>
      </c>
      <c r="B23" s="13" t="s">
        <v>625</v>
      </c>
      <c r="C23" s="5" t="s">
        <v>620</v>
      </c>
      <c r="D23" s="5" t="n">
        <v>0</v>
      </c>
      <c r="E23" s="5" t="s">
        <v>609</v>
      </c>
      <c r="F23" s="13" t="s">
        <v>626</v>
      </c>
      <c r="G23" s="15" t="s">
        <v>583</v>
      </c>
    </row>
    <row r="24" customFormat="false" ht="15" hidden="false" customHeight="false" outlineLevel="0" collapsed="false">
      <c r="A24" s="10" t="s">
        <v>627</v>
      </c>
      <c r="B24" s="13" t="s">
        <v>619</v>
      </c>
      <c r="C24" s="5" t="s">
        <v>628</v>
      </c>
      <c r="D24" s="5" t="n">
        <v>2</v>
      </c>
      <c r="E24" s="5" t="n">
        <v>1</v>
      </c>
      <c r="F24" s="13" t="s">
        <v>629</v>
      </c>
      <c r="G24" s="15" t="s">
        <v>583</v>
      </c>
    </row>
    <row r="25" customFormat="false" ht="15" hidden="false" customHeight="false" outlineLevel="0" collapsed="false">
      <c r="A25" s="10" t="s">
        <v>630</v>
      </c>
      <c r="B25" s="13" t="s">
        <v>619</v>
      </c>
      <c r="C25" s="5" t="s">
        <v>628</v>
      </c>
      <c r="D25" s="5" t="n">
        <v>2</v>
      </c>
      <c r="E25" s="5" t="n">
        <v>1</v>
      </c>
      <c r="F25" s="13" t="s">
        <v>631</v>
      </c>
      <c r="G25" s="15" t="s">
        <v>583</v>
      </c>
    </row>
    <row r="26" customFormat="false" ht="15" hidden="false" customHeight="false" outlineLevel="0" collapsed="false">
      <c r="A26" s="10" t="s">
        <v>632</v>
      </c>
      <c r="B26" s="13" t="s">
        <v>593</v>
      </c>
      <c r="C26" s="5" t="s">
        <v>628</v>
      </c>
      <c r="D26" s="5" t="n">
        <v>4</v>
      </c>
      <c r="E26" s="5" t="n">
        <v>1</v>
      </c>
      <c r="F26" s="13" t="s">
        <v>633</v>
      </c>
      <c r="G26" s="15" t="s">
        <v>596</v>
      </c>
    </row>
    <row r="27" customFormat="false" ht="15" hidden="false" customHeight="false" outlineLevel="0" collapsed="false">
      <c r="A27" s="10" t="s">
        <v>634</v>
      </c>
      <c r="B27" s="13" t="s">
        <v>593</v>
      </c>
      <c r="C27" s="5" t="s">
        <v>628</v>
      </c>
      <c r="D27" s="5" t="n">
        <v>4</v>
      </c>
      <c r="E27" s="5" t="n">
        <v>1</v>
      </c>
      <c r="F27" s="13" t="s">
        <v>633</v>
      </c>
      <c r="G27" s="15" t="s">
        <v>596</v>
      </c>
    </row>
    <row r="28" customFormat="false" ht="23.85" hidden="false" customHeight="false" outlineLevel="0" collapsed="false">
      <c r="A28" s="10" t="s">
        <v>635</v>
      </c>
      <c r="B28" s="13" t="s">
        <v>625</v>
      </c>
      <c r="C28" s="5" t="s">
        <v>628</v>
      </c>
      <c r="D28" s="5" t="n">
        <v>0</v>
      </c>
      <c r="E28" s="5" t="s">
        <v>609</v>
      </c>
      <c r="F28" s="13" t="s">
        <v>636</v>
      </c>
      <c r="G28" s="15" t="s">
        <v>583</v>
      </c>
    </row>
    <row r="29" customFormat="false" ht="15" hidden="false" customHeight="false" outlineLevel="0" collapsed="false">
      <c r="A29" s="10" t="s">
        <v>637</v>
      </c>
      <c r="B29" s="13" t="s">
        <v>593</v>
      </c>
      <c r="C29" s="5" t="s">
        <v>628</v>
      </c>
      <c r="D29" s="5" t="n">
        <v>3</v>
      </c>
      <c r="E29" s="5" t="n">
        <v>1</v>
      </c>
      <c r="F29" s="13" t="s">
        <v>638</v>
      </c>
      <c r="G29" s="15" t="s">
        <v>596</v>
      </c>
    </row>
    <row r="32" customFormat="false" ht="15" hidden="false" customHeight="false" outlineLevel="0" collapsed="false">
      <c r="A32" s="2" t="s">
        <v>639</v>
      </c>
      <c r="B32" s="2" t="s">
        <v>640</v>
      </c>
    </row>
    <row r="33" customFormat="false" ht="15" hidden="false" customHeight="false" outlineLevel="0" collapsed="false">
      <c r="A33" s="10" t="s">
        <v>581</v>
      </c>
      <c r="B33" s="13" t="s">
        <v>641</v>
      </c>
    </row>
    <row r="34" customFormat="false" ht="15" hidden="false" customHeight="false" outlineLevel="0" collapsed="false">
      <c r="A34" s="10" t="s">
        <v>620</v>
      </c>
      <c r="B34" s="13" t="s">
        <v>642</v>
      </c>
    </row>
    <row r="35" customFormat="false" ht="15" hidden="false" customHeight="false" outlineLevel="0" collapsed="false">
      <c r="A35" s="10" t="s">
        <v>628</v>
      </c>
      <c r="B35" s="13" t="s">
        <v>643</v>
      </c>
    </row>
    <row r="36" customFormat="false" ht="15" hidden="false" customHeight="false" outlineLevel="0" collapsed="false">
      <c r="A36" s="10" t="s">
        <v>594</v>
      </c>
      <c r="B36" s="13" t="s">
        <v>644</v>
      </c>
    </row>
  </sheetData>
  <autoFilter ref="A4:G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9" activeCellId="0" sqref="D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1" t="s">
        <v>645</v>
      </c>
    </row>
    <row r="2" customFormat="false" ht="15" hidden="false" customHeight="false" outlineLevel="0" collapsed="false">
      <c r="A2" s="12" t="s">
        <v>646</v>
      </c>
    </row>
    <row r="4" customFormat="false" ht="26.85" hidden="false" customHeight="false" outlineLevel="0" collapsed="false">
      <c r="A4" s="2" t="s">
        <v>647</v>
      </c>
      <c r="B4" s="2" t="s">
        <v>648</v>
      </c>
      <c r="C4" s="2" t="s">
        <v>649</v>
      </c>
      <c r="D4" s="2" t="s">
        <v>650</v>
      </c>
    </row>
    <row r="5" customFormat="false" ht="23.85" hidden="false" customHeight="false" outlineLevel="0" collapsed="false">
      <c r="A5" s="5" t="n">
        <v>110</v>
      </c>
      <c r="B5" s="5" t="n">
        <v>1</v>
      </c>
      <c r="C5" s="6" t="n">
        <v>0.33</v>
      </c>
      <c r="D5" s="13" t="s">
        <v>651</v>
      </c>
    </row>
    <row r="6" customFormat="false" ht="23.85" hidden="false" customHeight="false" outlineLevel="0" collapsed="false">
      <c r="A6" s="5" t="n">
        <f aca="false">1.5*A5</f>
        <v>165</v>
      </c>
      <c r="B6" s="5" t="n">
        <v>2</v>
      </c>
      <c r="C6" s="6" t="n">
        <v>0.33</v>
      </c>
      <c r="D6" s="13" t="s">
        <v>652</v>
      </c>
    </row>
    <row r="7" customFormat="false" ht="23.85" hidden="false" customHeight="false" outlineLevel="0" collapsed="false">
      <c r="A7" s="5" t="n">
        <f aca="false">1.5*A6</f>
        <v>247.5</v>
      </c>
      <c r="B7" s="5" t="n">
        <v>3</v>
      </c>
      <c r="C7" s="6" t="n">
        <v>0.33</v>
      </c>
      <c r="D7" s="13" t="s">
        <v>653</v>
      </c>
    </row>
    <row r="8" customFormat="false" ht="23.85" hidden="false" customHeight="false" outlineLevel="0" collapsed="false">
      <c r="A8" s="5" t="n">
        <f aca="false">1.5*A7</f>
        <v>371.25</v>
      </c>
      <c r="B8" s="5" t="n">
        <v>4</v>
      </c>
      <c r="C8" s="6" t="n">
        <v>0.33</v>
      </c>
      <c r="D8" s="13" t="s">
        <v>654</v>
      </c>
    </row>
    <row r="9" customFormat="false" ht="35.05" hidden="false" customHeight="false" outlineLevel="0" collapsed="false">
      <c r="A9" s="5" t="s">
        <v>655</v>
      </c>
      <c r="B9" s="5" t="s">
        <v>656</v>
      </c>
      <c r="C9" s="6" t="n">
        <v>0.33</v>
      </c>
      <c r="D9" s="13" t="s">
        <v>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1" t="s">
        <v>658</v>
      </c>
    </row>
    <row r="2" customFormat="false" ht="15" hidden="false" customHeight="false" outlineLevel="0" collapsed="false">
      <c r="A2" s="12" t="s">
        <v>659</v>
      </c>
    </row>
    <row r="4" customFormat="false" ht="26.85" hidden="false" customHeight="false" outlineLevel="0" collapsed="false">
      <c r="A4" s="2" t="s">
        <v>322</v>
      </c>
      <c r="B4" s="2" t="s">
        <v>660</v>
      </c>
      <c r="C4" s="2" t="s">
        <v>661</v>
      </c>
      <c r="D4" s="2" t="s">
        <v>662</v>
      </c>
    </row>
    <row r="5" customFormat="false" ht="15" hidden="false" customHeight="false" outlineLevel="0" collapsed="false">
      <c r="A5" s="35" t="s">
        <v>325</v>
      </c>
      <c r="B5" s="5" t="s">
        <v>663</v>
      </c>
      <c r="C5" s="15" t="n">
        <v>0</v>
      </c>
      <c r="D5" s="9" t="n">
        <f aca="false">IF(SUM($C$5:$C$11)=0,0,C5/SUM($C$5:$C$11))</f>
        <v>0</v>
      </c>
    </row>
    <row r="6" customFormat="false" ht="15" hidden="false" customHeight="false" outlineLevel="0" collapsed="false">
      <c r="A6" s="36" t="s">
        <v>327</v>
      </c>
      <c r="B6" s="5" t="s">
        <v>664</v>
      </c>
      <c r="C6" s="15" t="n">
        <v>0</v>
      </c>
      <c r="D6" s="9" t="n">
        <f aca="false">IF(SUM($C$5:$C$11)=0,0,C6/SUM($C$5:$C$11))</f>
        <v>0</v>
      </c>
    </row>
    <row r="7" customFormat="false" ht="15" hidden="false" customHeight="false" outlineLevel="0" collapsed="false">
      <c r="A7" s="37" t="s">
        <v>329</v>
      </c>
      <c r="B7" s="5" t="s">
        <v>665</v>
      </c>
      <c r="C7" s="15" t="n">
        <v>0</v>
      </c>
      <c r="D7" s="9" t="n">
        <f aca="false">IF(SUM($C$5:$C$11)=0,0,C7/SUM($C$5:$C$11))</f>
        <v>0</v>
      </c>
    </row>
    <row r="8" customFormat="false" ht="15" hidden="false" customHeight="false" outlineLevel="0" collapsed="false">
      <c r="A8" s="38" t="s">
        <v>331</v>
      </c>
      <c r="B8" s="5" t="s">
        <v>666</v>
      </c>
      <c r="C8" s="15" t="n">
        <v>0</v>
      </c>
      <c r="D8" s="9" t="n">
        <f aca="false">IF(SUM($C$5:$C$11)=0,0,C8/SUM($C$5:$C$11))</f>
        <v>0</v>
      </c>
    </row>
    <row r="9" customFormat="false" ht="15" hidden="false" customHeight="false" outlineLevel="0" collapsed="false">
      <c r="A9" s="39" t="s">
        <v>333</v>
      </c>
      <c r="B9" s="5" t="s">
        <v>667</v>
      </c>
      <c r="C9" s="15" t="n">
        <v>0</v>
      </c>
      <c r="D9" s="9" t="n">
        <f aca="false">IF(SUM($C$5:$C$11)=0,0,C9/SUM($C$5:$C$11))</f>
        <v>0</v>
      </c>
    </row>
    <row r="10" customFormat="false" ht="15" hidden="false" customHeight="false" outlineLevel="0" collapsed="false">
      <c r="A10" s="40" t="s">
        <v>335</v>
      </c>
      <c r="B10" s="5" t="s">
        <v>668</v>
      </c>
      <c r="C10" s="15" t="n">
        <v>0</v>
      </c>
      <c r="D10" s="9" t="n">
        <f aca="false">IF(SUM($C$5:$C$11)=0,0,C10/SUM($C$5:$C$11))</f>
        <v>0</v>
      </c>
    </row>
    <row r="11" customFormat="false" ht="15" hidden="false" customHeight="false" outlineLevel="0" collapsed="false">
      <c r="A11" s="41" t="s">
        <v>337</v>
      </c>
      <c r="B11" s="5" t="s">
        <v>669</v>
      </c>
      <c r="C11" s="15" t="n">
        <v>0</v>
      </c>
      <c r="D11" s="9" t="n">
        <f aca="false">IF(SUM($C$5:$C$11)=0,0,C11/SUM($C$5:$C$11))</f>
        <v>0</v>
      </c>
    </row>
    <row r="12" customFormat="false" ht="15" hidden="false" customHeight="false" outlineLevel="0" collapsed="false">
      <c r="A12" s="10" t="s">
        <v>388</v>
      </c>
      <c r="C12" s="51" t="n">
        <f aca="false">SUM(C5:C11)</f>
        <v>0</v>
      </c>
      <c r="D12" s="52" t="n">
        <f aca="false">SUM(D5:D11)</f>
        <v>0</v>
      </c>
    </row>
    <row r="13" customFormat="false" ht="15" hidden="false" customHeight="false" outlineLevel="0" collapsed="false">
      <c r="A13" s="3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29" activeCellId="0" sqref="C2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.57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75.26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1" t="s">
        <v>671</v>
      </c>
    </row>
    <row r="2" customFormat="false" ht="15" hidden="false" customHeight="false" outlineLevel="0" collapsed="false">
      <c r="A2" s="12" t="s">
        <v>672</v>
      </c>
    </row>
    <row r="4" customFormat="false" ht="15" hidden="false" customHeight="false" outlineLevel="0" collapsed="false">
      <c r="A4" s="2" t="s">
        <v>673</v>
      </c>
      <c r="B4" s="2" t="s">
        <v>674</v>
      </c>
      <c r="C4" s="2" t="s">
        <v>675</v>
      </c>
      <c r="D4" s="2" t="s">
        <v>676</v>
      </c>
    </row>
    <row r="5" customFormat="false" ht="15" hidden="false" customHeight="false" outlineLevel="0" collapsed="false">
      <c r="A5" s="10" t="s">
        <v>677</v>
      </c>
      <c r="B5" s="5" t="s">
        <v>411</v>
      </c>
      <c r="C5" s="13"/>
      <c r="D5" s="9"/>
    </row>
    <row r="6" customFormat="false" ht="15" hidden="false" customHeight="false" outlineLevel="0" collapsed="false">
      <c r="A6" s="10" t="s">
        <v>678</v>
      </c>
      <c r="B6" s="5" t="s">
        <v>44</v>
      </c>
      <c r="C6" s="13"/>
      <c r="D6" s="9"/>
    </row>
    <row r="7" customFormat="false" ht="15" hidden="false" customHeight="false" outlineLevel="0" collapsed="false">
      <c r="A7" s="10" t="s">
        <v>679</v>
      </c>
      <c r="B7" s="5" t="s">
        <v>50</v>
      </c>
      <c r="C7" s="13"/>
      <c r="D7" s="9"/>
    </row>
    <row r="8" customFormat="false" ht="15" hidden="false" customHeight="false" outlineLevel="0" collapsed="false">
      <c r="A8" s="10" t="s">
        <v>680</v>
      </c>
      <c r="B8" s="5" t="s">
        <v>56</v>
      </c>
      <c r="C8" s="13"/>
      <c r="D8" s="9"/>
    </row>
    <row r="9" customFormat="false" ht="15" hidden="false" customHeight="false" outlineLevel="0" collapsed="false">
      <c r="A9" s="10" t="s">
        <v>681</v>
      </c>
      <c r="B9" s="5" t="s">
        <v>62</v>
      </c>
      <c r="C9" s="13"/>
      <c r="D9" s="9"/>
    </row>
    <row r="10" customFormat="false" ht="15" hidden="false" customHeight="false" outlineLevel="0" collapsed="false">
      <c r="A10" s="10" t="s">
        <v>682</v>
      </c>
      <c r="B10" s="5" t="s">
        <v>68</v>
      </c>
      <c r="C10" s="13"/>
      <c r="D10" s="9"/>
    </row>
    <row r="11" customFormat="false" ht="15" hidden="false" customHeight="false" outlineLevel="0" collapsed="false">
      <c r="A11" s="10" t="s">
        <v>683</v>
      </c>
      <c r="B11" s="5" t="s">
        <v>74</v>
      </c>
      <c r="C11" s="13"/>
      <c r="D11" s="9"/>
    </row>
    <row r="12" customFormat="false" ht="15" hidden="false" customHeight="false" outlineLevel="0" collapsed="false">
      <c r="A12" s="10" t="s">
        <v>684</v>
      </c>
      <c r="B12" s="5" t="s">
        <v>80</v>
      </c>
      <c r="C12" s="13"/>
      <c r="D12" s="9"/>
    </row>
    <row r="13" customFormat="false" ht="15" hidden="false" customHeight="false" outlineLevel="0" collapsed="false">
      <c r="A13" s="10" t="s">
        <v>685</v>
      </c>
      <c r="B13" s="5" t="s">
        <v>86</v>
      </c>
      <c r="C13" s="13"/>
      <c r="D13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11892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2026-06-07T14:23:50Z</dcterms:modified>
  <cp:revision>416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